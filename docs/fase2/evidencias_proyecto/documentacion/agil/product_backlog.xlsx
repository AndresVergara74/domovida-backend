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'Product Backlog'!$A$4:$I$23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3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1F3864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8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42" customWidth="1" style="14" min="2" max="2"/>
    <col width="9" customWidth="1" style="14" min="3" max="3"/>
    <col width="48" customWidth="1" style="14" min="4" max="4"/>
    <col width="9" customWidth="1" style="14" min="5" max="5"/>
    <col width="8" customWidth="1" style="14" min="6" max="6"/>
    <col width="12" customWidth="1" style="14" min="7" max="7"/>
    <col width="16" customWidth="1" style="14" min="8" max="8"/>
    <col width="36" customWidth="1" style="14" min="9" max="9"/>
  </cols>
  <sheetData>
    <row r="1" ht="16.15" customHeight="1" s="15">
      <c r="A1" s="16" t="inlineStr">
        <is>
          <t>DomoVida · Product Backlog priorizado (actualizado al 20 de octubre de 2026)</t>
        </is>
      </c>
    </row>
    <row r="2" ht="30" customHeight="1" s="15">
      <c r="A2" s="17" t="inlineStr">
        <is>
          <t>Formato: Como [usuario], quiero [funcionalidad], para [beneficio]. Criterios en formato Dado / Cuando / Entonces. Prioridad MoSCoW. Fuente: Guía 1.5 (Tabla 10, HU-01 a HU-12) e historias agregadas en el Sprint 3 (HU-13 a HU-19) y a partir de los hallazgos de las sesiones SUS del Sprint 4 (HU-20 a HU-23). Tablero: https://github.com/users/AndresVergara74/projects/1</t>
        </is>
      </c>
    </row>
    <row r="4" ht="23.85" customHeight="1" s="15">
      <c r="A4" s="18" t="inlineStr">
        <is>
          <t>ID</t>
        </is>
      </c>
      <c r="B4" s="18" t="inlineStr">
        <is>
          <t>Historia de usuario</t>
        </is>
      </c>
      <c r="C4" s="18" t="inlineStr">
        <is>
          <t>Prioridad</t>
        </is>
      </c>
      <c r="D4" s="18" t="inlineStr">
        <is>
          <t>Criterios de aceptación</t>
        </is>
      </c>
      <c r="E4" s="18" t="inlineStr">
        <is>
          <t>Objetivo</t>
        </is>
      </c>
      <c r="F4" s="18" t="inlineStr">
        <is>
          <t>Sprint</t>
        </is>
      </c>
      <c r="G4" s="18" t="inlineStr">
        <is>
          <t>Estado</t>
        </is>
      </c>
      <c r="H4" s="18" t="inlineStr">
        <is>
          <t>Prueba(s)</t>
        </is>
      </c>
      <c r="I4" s="18" t="inlineStr">
        <is>
          <t>Observaciones</t>
        </is>
      </c>
    </row>
    <row r="5" ht="32.8" customHeight="1" s="15">
      <c r="A5" s="19" t="inlineStr">
        <is>
          <t>HU-01</t>
        </is>
      </c>
      <c r="B5" s="20" t="inlineStr">
        <is>
          <t>Como cuidador, quiero recibir una alerta en el panel cuando se detecte una caída, para acudir de inmediato.</t>
        </is>
      </c>
      <c r="C5" s="20" t="inlineStr">
        <is>
          <t>Must</t>
        </is>
      </c>
      <c r="D5" s="20" t="inlineStr">
        <is>
          <t>Dado un acelerómetro con Z &gt; 17 m/s², cuando el módulo procesa la lectura, entonces se crea una alerta que aparece en el panel en menos de 1 s.</t>
        </is>
      </c>
      <c r="E5" s="20" t="inlineStr">
        <is>
          <t>OE1 / OE3</t>
        </is>
      </c>
      <c r="F5" s="20" t="inlineStr">
        <is>
          <t>S3–S4</t>
        </is>
      </c>
      <c r="G5" s="21" t="inlineStr">
        <is>
          <t>Terminada</t>
        </is>
      </c>
      <c r="H5" s="20" t="inlineStr">
        <is>
          <t>PI-02, PR-01, PR-01b, PR-01c</t>
        </is>
      </c>
      <c r="I5" s="20" t="inlineStr">
        <is>
          <t>Bajo 1 s con backend y base en la misma máquina: 54 ms en Oracle Santiago (PR-01c, 11/10) y 216 ms en AWS EC2; 1.577 ms en Render + Supabase.</t>
        </is>
      </c>
    </row>
    <row r="6" ht="32.8" customHeight="1" s="15">
      <c r="A6" s="19" t="inlineStr">
        <is>
          <t>HU-02</t>
        </is>
      </c>
      <c r="B6" s="20" t="inlineStr">
        <is>
          <t>Como cuidador, quiero recibir una notificación push en mi celular, para enterarme aunque no tenga el panel abierto.</t>
        </is>
      </c>
      <c r="C6" s="20" t="inlineStr">
        <is>
          <t>Must</t>
        </is>
      </c>
      <c r="D6" s="20" t="inlineStr">
        <is>
          <t>Dada una alerta crítica, cuando se registra en el backend, entonces ntfy la envía al tópico del cuidador en menos de 2 s.</t>
        </is>
      </c>
      <c r="E6" s="20" t="inlineStr">
        <is>
          <t>OE3</t>
        </is>
      </c>
      <c r="F6" s="20" t="inlineStr">
        <is>
          <t>S4</t>
        </is>
      </c>
      <c r="G6" s="21" t="inlineStr">
        <is>
          <t>Terminada</t>
        </is>
      </c>
      <c r="H6" s="20" t="inlineStr">
        <is>
          <t>PR-02</t>
        </is>
      </c>
      <c r="I6" s="20" t="inlineStr">
        <is>
          <t>30/30 avisos recibidos en el celular (03/10).</t>
        </is>
      </c>
    </row>
    <row r="7" ht="32.8" customHeight="1" s="15">
      <c r="A7" s="19" t="inlineStr">
        <is>
          <t>HU-03</t>
        </is>
      </c>
      <c r="B7" s="20" t="inlineStr">
        <is>
          <t>Como cuidador, quiero que los eventos se sigan registrando cuando se corta internet, para no perder ninguna emergencia.</t>
        </is>
      </c>
      <c r="C7" s="20" t="inlineStr">
        <is>
          <t>Must</t>
        </is>
      </c>
      <c r="D7" s="20" t="inlineStr">
        <is>
          <t>Dado un corte de red de 10 min, cuando ocurren eventos, entonces se guardan en SQLite3 y se sincronizan al 100 % con Supabase al reconectar.</t>
        </is>
      </c>
      <c r="E7" s="20" t="inlineStr">
        <is>
          <t>OE1 / OE2</t>
        </is>
      </c>
      <c r="F7" s="20" t="inlineStr">
        <is>
          <t>S3–S4</t>
        </is>
      </c>
      <c r="G7" s="22" t="inlineStr">
        <is>
          <t>Terminada</t>
        </is>
      </c>
      <c r="H7" s="20" t="inlineStr">
        <is>
          <t>PR-03, PU-07, PR-03b</t>
        </is>
      </c>
      <c r="I7" s="20" t="inlineStr">
        <is>
          <t>Cerrada el 08/10: almacenamiento y reenvío (store-and-forward) con UUID y migración 003; 5/5 caídas sincronizadas sin duplicados (PR-03b).</t>
        </is>
      </c>
    </row>
    <row r="8" ht="32.8" customHeight="1" s="15">
      <c r="A8" s="19" t="inlineStr">
        <is>
          <t>HU-04</t>
        </is>
      </c>
      <c r="B8" s="20" t="inlineStr">
        <is>
          <t>Como cuidador, quiero ser alertado ante gas o humo en la cocina, para evitar un incendio o intoxicación.</t>
        </is>
      </c>
      <c r="C8" s="20" t="inlineStr">
        <is>
          <t>Must</t>
        </is>
      </c>
      <c r="D8" s="20" t="inlineStr">
        <is>
          <t>Dada una lectura de gas &gt; 500 ppm o humo &gt; 800 ppm, cuando se procesa, entonces se genera una alerta crítica del tipo correspondiente.</t>
        </is>
      </c>
      <c r="E8" s="20" t="inlineStr">
        <is>
          <t>OE1</t>
        </is>
      </c>
      <c r="F8" s="20" t="inlineStr">
        <is>
          <t>S3</t>
        </is>
      </c>
      <c r="G8" s="21" t="inlineStr">
        <is>
          <t>Terminada</t>
        </is>
      </c>
      <c r="H8" s="20" t="inlineStr">
        <is>
          <t>PI-02</t>
        </is>
      </c>
      <c r="I8" s="20" t="inlineStr">
        <is>
          <t>Prueba unitaria PU-02 planificada.</t>
        </is>
      </c>
    </row>
    <row r="9" ht="32.8" customHeight="1" s="15">
      <c r="A9" s="19" t="inlineStr">
        <is>
          <t>HU-05</t>
        </is>
      </c>
      <c r="B9" s="20" t="inlineStr">
        <is>
          <t>Como cuidador, quiero saber si no hay movimiento por un tiempo prolongado, para verificar que el adulto mayor está bien.</t>
        </is>
      </c>
      <c r="C9" s="20" t="inlineStr">
        <is>
          <t>Must</t>
        </is>
      </c>
      <c r="D9" s="20" t="inlineStr">
        <is>
          <t>Dado un PIR sin movimiento por más de 30 min, cuando se consulta /alertas/inactividad, entonces se informa la alerta de inactividad.</t>
        </is>
      </c>
      <c r="E9" s="20" t="inlineStr">
        <is>
          <t>OE1</t>
        </is>
      </c>
      <c r="F9" s="20" t="inlineStr">
        <is>
          <t>S3</t>
        </is>
      </c>
      <c r="G9" s="21" t="inlineStr">
        <is>
          <t>Terminada</t>
        </is>
      </c>
      <c r="H9" s="20" t="inlineStr">
        <is>
          <t>PU-02 (planificada)</t>
        </is>
      </c>
      <c r="I9" s="20" t="inlineStr">
        <is>
          <t>Implementada; falta el caso de prueba formal.</t>
        </is>
      </c>
    </row>
    <row r="10" ht="32.8" customHeight="1" s="15">
      <c r="A10" s="19" t="inlineStr">
        <is>
          <t>HU-06</t>
        </is>
      </c>
      <c r="B10" s="20" t="inlineStr">
        <is>
          <t>Como cuidador, quiero registrar la atención de cada alerta, para dejar trazabilidad de quién respondió y cuándo.</t>
        </is>
      </c>
      <c r="C10" s="20" t="inlineStr">
        <is>
          <t>Must</t>
        </is>
      </c>
      <c r="D10" s="20" t="inlineStr">
        <is>
          <t>Dada una alerta activa, cuando el cuidador la marca como atendida, entonces queda con estado, hora y campo resuelto_por.</t>
        </is>
      </c>
      <c r="E10" s="20" t="inlineStr">
        <is>
          <t>OE3</t>
        </is>
      </c>
      <c r="F10" s="20" t="inlineStr">
        <is>
          <t>S4</t>
        </is>
      </c>
      <c r="G10" s="21" t="inlineStr">
        <is>
          <t>Terminada</t>
        </is>
      </c>
      <c r="H10" s="20" t="inlineStr">
        <is>
          <t>PS-01b</t>
        </is>
      </c>
      <c r="I10" s="20" t="inlineStr">
        <is>
          <t>Desde el 05/10, resuelto_por guarda el correo del cuidador autenticado.</t>
        </is>
      </c>
    </row>
    <row r="11" ht="32.8" customHeight="1" s="15">
      <c r="A11" s="19" t="inlineStr">
        <is>
          <t>HU-07</t>
        </is>
      </c>
      <c r="B11" s="20" t="inlineStr">
        <is>
          <t>Como adulto mayor, quiero aceptar un consentimiento informado antes de activar el monitoreo, para decidir sobre mis datos.</t>
        </is>
      </c>
      <c r="C11" s="20" t="inlineStr">
        <is>
          <t>Must</t>
        </is>
      </c>
      <c r="D11" s="20" t="inlineStr">
        <is>
          <t>Dado un usuario nuevo, cuando abre el panel, entonces debe aceptar los 2 checkboxes del consentimiento antes de activar el monitoreo.</t>
        </is>
      </c>
      <c r="E11" s="20" t="inlineStr">
        <is>
          <t>OE2</t>
        </is>
      </c>
      <c r="F11" s="20" t="inlineStr">
        <is>
          <t>S4</t>
        </is>
      </c>
      <c r="G11" s="21" t="inlineStr">
        <is>
          <t>Terminada</t>
        </is>
      </c>
      <c r="H11" s="20" t="inlineStr">
        <is>
          <t>PU-03</t>
        </is>
      </c>
      <c r="I11" s="20" t="n"/>
    </row>
    <row r="12" ht="32.8" customHeight="1" s="15">
      <c r="A12" s="19" t="inlineStr">
        <is>
          <t>HU-08</t>
        </is>
      </c>
      <c r="B12" s="20" t="inlineStr">
        <is>
          <t>Como personal técnico, quiero que el RUT y el nombre se seudonimicen y que RLS restrinja el acceso, para cumplir la Ley N° 21.719.</t>
        </is>
      </c>
      <c r="C12" s="20" t="inlineStr">
        <is>
          <t>Must</t>
        </is>
      </c>
      <c r="D12" s="20" t="inlineStr">
        <is>
          <t>Dado un registro nuevo, cuando se guarda, entonces no contiene RUT ni nombre en texto plano y un rol no autorizado obtiene 0 filas.</t>
        </is>
      </c>
      <c r="E12" s="20" t="inlineStr">
        <is>
          <t>OE2</t>
        </is>
      </c>
      <c r="F12" s="20" t="inlineStr">
        <is>
          <t>S4–S5</t>
        </is>
      </c>
      <c r="G12" s="21" t="inlineStr">
        <is>
          <t>Terminada</t>
        </is>
      </c>
      <c r="H12" s="20" t="inlineStr">
        <is>
          <t>PU-03, PI-03, PI-03b</t>
        </is>
      </c>
      <c r="I12" s="20" t="inlineStr">
        <is>
          <t>Terminada el 05/10 con RLS también en la tabla sensores.</t>
        </is>
      </c>
    </row>
    <row r="13" ht="32.8" customHeight="1" s="15">
      <c r="A13" s="19" t="inlineStr">
        <is>
          <t>HU-09</t>
        </is>
      </c>
      <c r="B13" s="20" t="inlineStr">
        <is>
          <t>Como cuidador, quiero ver los 8 sensores en un mapa del hogar, para saber dónde ocurrió el evento.</t>
        </is>
      </c>
      <c r="C13" s="20" t="inlineStr">
        <is>
          <t>Should</t>
        </is>
      </c>
      <c r="D13" s="20" t="inlineStr">
        <is>
          <t>Dado el panel abierto, cuando entro a Ubicación, entonces veo los 8 sensores con su estado (verde en línea, rojo fuera de línea).</t>
        </is>
      </c>
      <c r="E13" s="20" t="inlineStr">
        <is>
          <t>OE3</t>
        </is>
      </c>
      <c r="F13" s="20" t="inlineStr">
        <is>
          <t>S4</t>
        </is>
      </c>
      <c r="G13" s="21" t="inlineStr">
        <is>
          <t>Terminada</t>
        </is>
      </c>
      <c r="H13" s="20" t="inlineStr">
        <is>
          <t>Verificación manual</t>
        </is>
      </c>
      <c r="I13" s="20" t="n"/>
    </row>
    <row r="14" ht="22.35" customHeight="1" s="15">
      <c r="A14" s="19" t="inlineStr">
        <is>
          <t>HU-10</t>
        </is>
      </c>
      <c r="B14" s="20" t="inlineStr">
        <is>
          <t>Como cuidador, quiero filtrar el historial por sensor, tipo, habitación y alerta, para revisar eventos pasados.</t>
        </is>
      </c>
      <c r="C14" s="20" t="inlineStr">
        <is>
          <t>Should</t>
        </is>
      </c>
      <c r="D14" s="20" t="inlineStr">
        <is>
          <t>Dado el Historial, cuando aplico un filtro, entonces la tabla y el contador muestran solo los eventos que cumplen el criterio.</t>
        </is>
      </c>
      <c r="E14" s="20" t="inlineStr">
        <is>
          <t>OE3</t>
        </is>
      </c>
      <c r="F14" s="20" t="inlineStr">
        <is>
          <t>S4</t>
        </is>
      </c>
      <c r="G14" s="21" t="inlineStr">
        <is>
          <t>Terminada</t>
        </is>
      </c>
      <c r="H14" s="20" t="inlineStr">
        <is>
          <t>Verificación manual</t>
        </is>
      </c>
      <c r="I14" s="20" t="n"/>
    </row>
    <row r="15" ht="32.8" customHeight="1" s="15">
      <c r="A15" s="19" t="inlineStr">
        <is>
          <t>HU-11</t>
        </is>
      </c>
      <c r="B15" s="20" t="inlineStr">
        <is>
          <t>Como personal técnico, quiero desplegar el backend en contenedores Docker sobre AWS Academy, para evidenciar el despliegue en la nube.</t>
        </is>
      </c>
      <c r="C15" s="20" t="inlineStr">
        <is>
          <t>Could</t>
        </is>
      </c>
      <c r="D15" s="20" t="inlineStr">
        <is>
          <t>Dada una instancia EC2, cuando ejecuto docker compose up --build, entonces la API responde en /docs y las evidencias quedan en el repositorio.</t>
        </is>
      </c>
      <c r="E15" s="20" t="inlineStr">
        <is>
          <t>OE2</t>
        </is>
      </c>
      <c r="F15" s="20" t="inlineStr">
        <is>
          <t>S4–S5</t>
        </is>
      </c>
      <c r="G15" s="21" t="inlineStr">
        <is>
          <t>Terminada</t>
        </is>
      </c>
      <c r="H15" s="20" t="inlineStr">
        <is>
          <t>PR-01b</t>
        </is>
      </c>
      <c r="I15" s="20" t="n"/>
    </row>
    <row r="16" ht="32.8" customHeight="1" s="15">
      <c r="A16" s="19" t="inlineStr">
        <is>
          <t>HU-12</t>
        </is>
      </c>
      <c r="B16" s="20" t="inlineStr">
        <is>
          <t>Como Product Owner, quiero aplicar la Escala SUS a 5–10 cuidadores, para validar la usabilidad del panel.</t>
        </is>
      </c>
      <c r="C16" s="20" t="inlineStr">
        <is>
          <t>Should</t>
        </is>
      </c>
      <c r="D16" s="20" t="inlineStr">
        <is>
          <t>Dado el prototipo desplegado, cuando los cuidadores completan el cuestionario, entonces el puntaje promedio es superior a 70.</t>
        </is>
      </c>
      <c r="E16" s="20" t="inlineStr">
        <is>
          <t>OE3</t>
        </is>
      </c>
      <c r="F16" s="20" t="inlineStr">
        <is>
          <t>S4–S6</t>
        </is>
      </c>
      <c r="G16" s="23" t="inlineStr">
        <is>
          <t>En progreso</t>
        </is>
      </c>
      <c r="H16" s="20" t="inlineStr">
        <is>
          <t>SUS</t>
        </is>
      </c>
      <c r="I16" s="20" t="inlineStr">
        <is>
          <t>4 sesiones con cuidadores reales (P01–P04, 15 al 19/10): promedio 89,4 (meta &gt; 70). Sesión P05 el 21/10. Hallazgos generaron HU-20 a HU-23.</t>
        </is>
      </c>
    </row>
    <row r="17" ht="32.8" customHeight="1" s="15">
      <c r="A17" s="19" t="inlineStr">
        <is>
          <t>HU-13</t>
        </is>
      </c>
      <c r="B17" s="20" t="inlineStr">
        <is>
          <t>Como personal técnico, quiero que solo los sensores autorizados puedan enviar datos, para evitar alertas falsas.</t>
        </is>
      </c>
      <c r="C17" s="20" t="inlineStr">
        <is>
          <t>Must</t>
        </is>
      </c>
      <c r="D17" s="20" t="inlineStr">
        <is>
          <t>Dado un envío a /api/sensor-data, cuando no trae la clave correcta en X-API-Key, entonces el servidor responde 401; con la clave correcta responde 201.</t>
        </is>
      </c>
      <c r="E17" s="20" t="inlineStr">
        <is>
          <t>OE2</t>
        </is>
      </c>
      <c r="F17" s="20" t="inlineStr">
        <is>
          <t>S3</t>
        </is>
      </c>
      <c r="G17" s="21" t="inlineStr">
        <is>
          <t>Terminada</t>
        </is>
      </c>
      <c r="H17" s="20" t="inlineStr">
        <is>
          <t>PS-01</t>
        </is>
      </c>
      <c r="I17" s="20" t="inlineStr">
        <is>
          <t>Agregada en el Sprint 3 a partir del hallazgo de seguridad 9.</t>
        </is>
      </c>
    </row>
    <row r="18" ht="32.8" customHeight="1" s="15">
      <c r="A18" s="19" t="inlineStr">
        <is>
          <t>HU-14</t>
        </is>
      </c>
      <c r="B18" s="20" t="inlineStr">
        <is>
          <t>Como cuidador, quiero iniciar sesión para atender las alertas, para que nadie más pueda marcarlas como atendidas.</t>
        </is>
      </c>
      <c r="C18" s="20" t="inlineStr">
        <is>
          <t>Must</t>
        </is>
      </c>
      <c r="D18" s="20" t="inlineStr">
        <is>
          <t>Dada una alerta activa, cuando intento atenderla sin sesión o con un token inválido, entonces se rechaza (401); con mi sesión se acepta y queda mi correo.</t>
        </is>
      </c>
      <c r="E18" s="20" t="inlineStr">
        <is>
          <t>OE3</t>
        </is>
      </c>
      <c r="F18" s="20" t="inlineStr">
        <is>
          <t>S3</t>
        </is>
      </c>
      <c r="G18" s="21" t="inlineStr">
        <is>
          <t>Terminada</t>
        </is>
      </c>
      <c r="H18" s="20" t="inlineStr">
        <is>
          <t>PS-01b</t>
        </is>
      </c>
      <c r="I18" s="20" t="inlineStr">
        <is>
          <t>Agregada en el Sprint 3 (Supabase Auth).</t>
        </is>
      </c>
    </row>
    <row r="19" ht="32.8" customHeight="1" s="15">
      <c r="A19" s="19" t="inlineStr">
        <is>
          <t>HU-15</t>
        </is>
      </c>
      <c r="B19" s="20" t="inlineStr">
        <is>
          <t>Como equipo de salud, quiero consultar los eventos y al paciente en formato HL7 FHIR R4, para integrarlos a la ficha clínica.</t>
        </is>
      </c>
      <c r="C19" s="20" t="inlineStr">
        <is>
          <t>Should</t>
        </is>
      </c>
      <c r="D19" s="20" t="inlineStr">
        <is>
          <t>Dado un evento, cuando consulto /api/fhir/Observation o /api/fhir/Patient, entonces recibo recursos válidos según FHIR R4 y sin datos identificatorios.</t>
        </is>
      </c>
      <c r="E19" s="20" t="inlineStr">
        <is>
          <t>OE2</t>
        </is>
      </c>
      <c r="F19" s="20" t="inlineStr">
        <is>
          <t>S3</t>
        </is>
      </c>
      <c r="G19" s="21" t="inlineStr">
        <is>
          <t>Terminada</t>
        </is>
      </c>
      <c r="H19" s="20" t="inlineStr">
        <is>
          <t>PI-04, PI-05</t>
        </is>
      </c>
      <c r="I19" s="20" t="inlineStr">
        <is>
          <t>Adelantada desde la etapa post-prototipo.</t>
        </is>
      </c>
    </row>
    <row r="20" ht="32.8" customHeight="1" s="15">
      <c r="A20" s="19" t="inlineStr">
        <is>
          <t>HU-16</t>
        </is>
      </c>
      <c r="B20" s="20" t="inlineStr">
        <is>
          <t>Como cuidador, quiero que la puerta principal solo alerte de noche o si queda abierta mucho rato, para no recibir falsas alarmas.</t>
        </is>
      </c>
      <c r="C20" s="20" t="inlineStr">
        <is>
          <t>Should</t>
        </is>
      </c>
      <c r="D20" s="20" t="inlineStr">
        <is>
          <t>Dada una apertura de la puerta principal, cuando ocurre entre las 22:00 y las 07:00 o la puerta sigue abierta 10 minutos, entonces se genera una alerta una sola vez.</t>
        </is>
      </c>
      <c r="E20" s="20" t="inlineStr">
        <is>
          <t>OE1</t>
        </is>
      </c>
      <c r="F20" s="20" t="inlineStr">
        <is>
          <t>S3</t>
        </is>
      </c>
      <c r="G20" s="21" t="inlineStr">
        <is>
          <t>Terminada</t>
        </is>
      </c>
      <c r="H20" s="20" t="inlineStr">
        <is>
          <t>PU-04</t>
        </is>
      </c>
      <c r="I20" s="20" t="inlineStr">
        <is>
          <t>Agregada en el Sprint 3 (hallazgo 2).</t>
        </is>
      </c>
    </row>
    <row r="21" ht="32.8" customHeight="1" s="15">
      <c r="A21" s="19" t="inlineStr">
        <is>
          <t>HU-17</t>
        </is>
      </c>
      <c r="B21" s="20" t="inlineStr">
        <is>
          <t>Como personal técnico, quiero proteger también las consultas de lectura de la API, para que solo el cuidador vea los eventos.</t>
        </is>
      </c>
      <c r="C21" s="20" t="inlineStr">
        <is>
          <t>Should</t>
        </is>
      </c>
      <c r="D21" s="20" t="inlineStr">
        <is>
          <t>Dada una consulta a /api/eventos o /api/alertas, cuando no hay sesión válida, entonces el servidor responde 401.</t>
        </is>
      </c>
      <c r="E21" s="20" t="inlineStr">
        <is>
          <t>OE2</t>
        </is>
      </c>
      <c r="F21" s="20" t="inlineStr">
        <is>
          <t>S4</t>
        </is>
      </c>
      <c r="G21" s="23" t="inlineStr">
        <is>
          <t>Terminada</t>
        </is>
      </c>
      <c r="H21" s="20" t="inlineStr">
        <is>
          <t>PS-01c</t>
        </is>
      </c>
      <c r="I21" s="20" t="inlineStr">
        <is>
          <t>8/8 casos (06/10). La protección se activa por variable de entorno; /api/health sigue público.</t>
        </is>
      </c>
    </row>
    <row r="22" ht="32.8" customHeight="1" s="15">
      <c r="A22" s="19" t="inlineStr">
        <is>
          <t>HU-18</t>
        </is>
      </c>
      <c r="B22" s="20" t="inlineStr">
        <is>
          <t>Como personal técnico, quiero desplegar el sistema en Oracle Cloud Santiago, para acercar el servidor a los usuarios en Chile.</t>
        </is>
      </c>
      <c r="C22" s="20" t="inlineStr">
        <is>
          <t>Could</t>
        </is>
      </c>
      <c r="D22" s="20" t="inlineStr">
        <is>
          <t>Dada la instancia en Santiago, cuando se repite PR-01, entonces la alerta llega al panel en menos de 1 s.</t>
        </is>
      </c>
      <c r="E22" s="20" t="inlineStr">
        <is>
          <t>OE3</t>
        </is>
      </c>
      <c r="F22" s="20" t="inlineStr">
        <is>
          <t>S4</t>
        </is>
      </c>
      <c r="G22" s="24" t="inlineStr">
        <is>
          <t>Terminada</t>
        </is>
      </c>
      <c r="H22" s="20" t="inlineStr">
        <is>
          <t>PR-01c, PR-04</t>
        </is>
      </c>
      <c r="I22" s="20" t="inlineStr">
        <is>
          <t>Desplegado el 11/10 en la forma E2.1.Micro (Ampere sin capacidad; reintento automático activo): 54 ms (PR-01c), HTTPS con Caddy (ajuste 23) y carga con 20 usuarios, p95 &lt; 200 ms (PR-04, 20/10).</t>
        </is>
      </c>
    </row>
    <row r="23" ht="53.7" customHeight="1" s="15">
      <c r="A23" s="19" t="inlineStr">
        <is>
          <t>HU-19</t>
        </is>
      </c>
      <c r="B23" s="20" t="inlineStr">
        <is>
          <t>Como personal técnico, quiero rediseñar la base de datos (modelo v2), para sincronizar el modo borde sin duplicados, aplicar RLS por cuidador y mantener una sola fuente de verdad de las alertas.</t>
        </is>
      </c>
      <c r="C23" s="20" t="inlineStr">
        <is>
          <t>Should</t>
        </is>
      </c>
      <c r="D23" s="20" t="inlineStr">
        <is>
          <t>Dado el modelo v2 migrado con migraciones versionadas, cuando se reconstruye la base desde el repositorio y se repiten PR-03 y PS-01b, entonces no hay eventos duplicados, cada fecha tiene zona horaria y la atención queda registrada en alertas.</t>
        </is>
      </c>
      <c r="E23" s="20" t="inlineStr">
        <is>
          <t>OE2</t>
        </is>
      </c>
      <c r="F23" s="20" t="inlineStr">
        <is>
          <t>S4–S5</t>
        </is>
      </c>
      <c r="G23" s="23" t="inlineStr">
        <is>
          <t>En progreso</t>
        </is>
      </c>
      <c r="H23" s="20" t="inlineStr">
        <is>
          <t>PI-06, PI-07, PI-08, PR-03b</t>
        </is>
      </c>
      <c r="I23" s="20" t="inlineStr">
        <is>
          <t>Etapas 1 y 3 ejecutadas (06/10: migraciones versionadas, fechas UTC, alertas como fuente única) y migración 003 del modo borde (08/10). Falta RLS por cuidador.</t>
        </is>
      </c>
    </row>
    <row r="24" ht="53.7" customHeight="1" s="15">
      <c r="A24" s="19" t="inlineStr">
        <is>
          <t>HU-20</t>
        </is>
      </c>
      <c r="B24" s="20" t="inlineStr">
        <is>
          <t>Como familiar o administrador de una residencia, quiero registrar el turno y las tareas del cuidador contratado (entrada, salida, rondas nocturnas y medicamentos), para saber que la persona mayor fue atendida.</t>
        </is>
      </c>
      <c r="C24" s="20" t="inlineStr">
        <is>
          <t>Should</t>
        </is>
      </c>
      <c r="D24" s="20" t="inlineStr">
        <is>
          <t>Dado un turno activo, cuando el cuidador marca su entrada, una ronda o un medicamento, entonces el registro queda con hora y aparece en el panel del familiar.</t>
        </is>
      </c>
      <c r="E24" s="20" t="inlineStr">
        <is>
          <t>OE3</t>
        </is>
      </c>
      <c r="F24" s="20" t="inlineStr">
        <is>
          <t>S5</t>
        </is>
      </c>
      <c r="G24" s="23" t="inlineStr">
        <is>
          <t>Pendiente</t>
        </is>
      </c>
      <c r="H24" s="20" t="inlineStr">
        <is>
          <t>Por definir</t>
        </is>
      </c>
      <c r="I24" s="20" t="inlineStr">
        <is>
          <t>Hallazgo recurrente de las sesiones SUS (H-P01-3 y H-P04-2). Registro explícito del propio cuidador, no vigilancia encubierta.</t>
        </is>
      </c>
    </row>
    <row r="25" ht="53.7" customHeight="1" s="15">
      <c r="A25" s="19" t="inlineStr">
        <is>
          <t>HU-21</t>
        </is>
      </c>
      <c r="B25" s="20" t="inlineStr">
        <is>
          <t>Como cuidador, quiero ver de un vistazo si todo está bien (semáforo) y si cada sensor está enviando datos, para distinguir lo normal de lo urgente.</t>
        </is>
      </c>
      <c r="C25" s="20" t="inlineStr">
        <is>
          <t>Must</t>
        </is>
      </c>
      <c r="D25" s="20" t="inlineStr">
        <is>
          <t>Dado un sensor sin datos por más del tiempo esperado, cuando abro el panel, entonces el resumen muestra amarillo y «sin datos desde HH:MM»; ante una alerta, rojo.</t>
        </is>
      </c>
      <c r="E25" s="20" t="inlineStr">
        <is>
          <t>OE3</t>
        </is>
      </c>
      <c r="F25" s="20" t="inlineStr">
        <is>
          <t>S5</t>
        </is>
      </c>
      <c r="G25" s="23" t="inlineStr">
        <is>
          <t>Pendiente</t>
        </is>
      </c>
      <c r="H25" s="20" t="inlineStr">
        <is>
          <t>Por definir</t>
        </is>
      </c>
      <c r="I25" s="20" t="inlineStr">
        <is>
          <t>Hallazgos H-P02-1, H-P02-2 y H-P02-4 (operación por excepción).</t>
        </is>
      </c>
    </row>
    <row r="26" ht="53.7" customHeight="1" s="15">
      <c r="A26" s="19" t="inlineStr">
        <is>
          <t>HU-22</t>
        </is>
      </c>
      <c r="B26" s="20" t="inlineStr">
        <is>
          <t>Como cuidador, quiero ver los sensores en un plano simple de la casa por habitación, para entender dónde ocurrió cada evento.</t>
        </is>
      </c>
      <c r="C26" s="20" t="inlineStr">
        <is>
          <t>Could</t>
        </is>
      </c>
      <c r="D26" s="20" t="inlineStr">
        <is>
          <t>Dado el panel abierto, cuando entro a «Mapa del hogar», entonces cada sensor aparece dentro de su habitación y con el color de su estado.</t>
        </is>
      </c>
      <c r="E26" s="20" t="inlineStr">
        <is>
          <t>OE3</t>
        </is>
      </c>
      <c r="F26" s="20" t="inlineStr">
        <is>
          <t>S5</t>
        </is>
      </c>
      <c r="G26" s="23" t="inlineStr">
        <is>
          <t>Pendiente</t>
        </is>
      </c>
      <c r="H26" s="20" t="inlineStr">
        <is>
          <t>Verificación manual</t>
        </is>
      </c>
      <c r="I26" s="20" t="inlineStr">
        <is>
          <t>Hallazgo H-P02-7. Además evita mostrar la dirección del hogar en un mapa de calles.</t>
        </is>
      </c>
    </row>
    <row r="27" ht="53.7" customHeight="1" s="15">
      <c r="A27" s="19" t="inlineStr">
        <is>
          <t>HU-23</t>
        </is>
      </c>
      <c r="B27" s="20" t="inlineStr">
        <is>
          <t>Como cuidador con menor agudeza visual, quiero textos y colores con buen contraste, para leer el panel sin esfuerzo.</t>
        </is>
      </c>
      <c r="C27" s="20" t="inlineStr">
        <is>
          <t>Should</t>
        </is>
      </c>
      <c r="D27" s="20" t="inlineStr">
        <is>
          <t>Dado cualquier texto del panel, cuando se mide el contraste, entonces cumple WCAG 2.1 AA (4,5:1 en texto normal).</t>
        </is>
      </c>
      <c r="E27" s="20" t="inlineStr">
        <is>
          <t>OE3</t>
        </is>
      </c>
      <c r="F27" s="20" t="inlineStr">
        <is>
          <t>S5</t>
        </is>
      </c>
      <c r="G27" s="23" t="inlineStr">
        <is>
          <t>Pendiente</t>
        </is>
      </c>
      <c r="H27" s="20" t="inlineStr">
        <is>
          <t>Por definir</t>
        </is>
      </c>
      <c r="I27" s="20" t="inlineStr">
        <is>
          <t>Hallazgo H-P04-1.</t>
        </is>
      </c>
    </row>
  </sheetData>
  <autoFilter ref="A4:I23"/>
  <mergeCells count="1"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14" min="1" max="1"/>
    <col width="11" customWidth="1" style="14" min="2" max="2"/>
    <col width="9" customWidth="1" style="14" min="3" max="5"/>
  </cols>
  <sheetData>
    <row r="1" ht="15" customHeight="1" s="15">
      <c r="A1" s="25" t="inlineStr">
        <is>
          <t>Resumen del backlog</t>
        </is>
      </c>
    </row>
    <row r="2"/>
    <row r="3" ht="15" customHeight="1" s="15">
      <c r="A3" s="26" t="inlineStr">
        <is>
          <t>Estado</t>
        </is>
      </c>
      <c r="B3" s="26" t="inlineStr">
        <is>
          <t>Historias</t>
        </is>
      </c>
      <c r="C3" s="26" t="inlineStr">
        <is>
          <t>Must</t>
        </is>
      </c>
      <c r="D3" s="26" t="inlineStr">
        <is>
          <t>Should</t>
        </is>
      </c>
      <c r="E3" s="26" t="inlineStr">
        <is>
          <t>Could</t>
        </is>
      </c>
    </row>
    <row r="4" ht="15" customHeight="1" s="15">
      <c r="A4" s="27" t="inlineStr">
        <is>
          <t>Terminada</t>
        </is>
      </c>
      <c r="B4" s="27">
        <f>COUNTIF('Product Backlog'!$G$5:$G$27,A4)</f>
        <v/>
      </c>
      <c r="C4" s="27">
        <f>COUNTIFS('Product Backlog'!$G$5:$G$27,$A4,'Product Backlog'!$C$5:$C$27,"Must")</f>
        <v/>
      </c>
      <c r="D4" s="27">
        <f>COUNTIFS('Product Backlog'!$G$5:$G$27,$A4,'Product Backlog'!$C$5:$C$27,"Should")</f>
        <v/>
      </c>
      <c r="E4" s="27">
        <f>COUNTIFS('Product Backlog'!$G$5:$G$27,$A4,'Product Backlog'!$C$5:$C$27,"Could")</f>
        <v/>
      </c>
    </row>
    <row r="5" ht="15" customHeight="1" s="15">
      <c r="A5" s="27" t="inlineStr">
        <is>
          <t>En progreso</t>
        </is>
      </c>
      <c r="B5" s="27">
        <f>COUNTIF('Product Backlog'!$G$5:$G$27,A5)</f>
        <v/>
      </c>
      <c r="C5" s="27">
        <f>COUNTIFS('Product Backlog'!$G$5:$G$27,$A5,'Product Backlog'!$C$5:$C$27,"Must")</f>
        <v/>
      </c>
      <c r="D5" s="27">
        <f>COUNTIFS('Product Backlog'!$G$5:$G$27,$A5,'Product Backlog'!$C$5:$C$27,"Should")</f>
        <v/>
      </c>
      <c r="E5" s="27">
        <f>COUNTIFS('Product Backlog'!$G$5:$G$27,$A5,'Product Backlog'!$C$5:$C$27,"Could")</f>
        <v/>
      </c>
    </row>
    <row r="6" ht="15" customHeight="1" s="15">
      <c r="A6" s="27" t="inlineStr">
        <is>
          <t>Pendiente</t>
        </is>
      </c>
      <c r="B6" s="27">
        <f>COUNTIF('Product Backlog'!$G$5:$G$27,A6)</f>
        <v/>
      </c>
      <c r="C6" s="27">
        <f>COUNTIFS('Product Backlog'!$G$5:$G$27,$A6,'Product Backlog'!$C$5:$C$27,"Must")</f>
        <v/>
      </c>
      <c r="D6" s="27">
        <f>COUNTIFS('Product Backlog'!$G$5:$G$27,$A6,'Product Backlog'!$C$5:$C$27,"Should")</f>
        <v/>
      </c>
      <c r="E6" s="27">
        <f>COUNTIFS('Product Backlog'!$G$5:$G$27,$A6,'Product Backlog'!$C$5:$C$27,"Could")</f>
        <v/>
      </c>
    </row>
    <row r="7" ht="15" customHeight="1" s="15">
      <c r="A7" s="27" t="inlineStr">
        <is>
          <t>Bloqueada</t>
        </is>
      </c>
      <c r="B7" s="27">
        <f>COUNTIF('Product Backlog'!$G$5:$G$27,A7)</f>
        <v/>
      </c>
      <c r="C7" s="27">
        <f>COUNTIFS('Product Backlog'!$G$5:$G$27,$A7,'Product Backlog'!$C$5:$C$27,"Must")</f>
        <v/>
      </c>
      <c r="D7" s="27">
        <f>COUNTIFS('Product Backlog'!$G$5:$G$27,$A7,'Product Backlog'!$C$5:$C$27,"Should")</f>
        <v/>
      </c>
      <c r="E7" s="27">
        <f>COUNTIFS('Product Backlog'!$G$5:$G$27,$A7,'Product Backlog'!$C$5:$C$27,"Could")</f>
        <v/>
      </c>
    </row>
    <row r="8" ht="15" customHeight="1" s="15">
      <c r="A8" s="28" t="inlineStr">
        <is>
          <t>Total</t>
        </is>
      </c>
      <c r="B8" s="28">
        <f>SUM(B4:B7)</f>
        <v/>
      </c>
      <c r="C8" s="28">
        <f>SUM(C4:C7)</f>
        <v/>
      </c>
      <c r="D8" s="28">
        <f>SUM(D4:D7)</f>
        <v/>
      </c>
      <c r="E8" s="28">
        <f>SUM(E4:E7)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2026-10-06T15:29:00Z</dcterms:created>
  <dcterms:modified xmlns:dcterms="http://purl.org/dc/terms/" xmlns:xsi="http://www.w3.org/2001/XMLSchema-instance" xsi:type="dcterms:W3CDTF">2026-10-20T22:16:28Z</dcterms:modified>
  <cp:revision>0</cp:revision>
</cp:coreProperties>
</file>