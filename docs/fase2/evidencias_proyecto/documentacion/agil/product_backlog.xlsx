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Resumen" sheetId="2" state="visible" r:id="rId4"/>
  </sheets>
  <definedNames>
    <definedName function="false" hidden="true" localSheetId="0" name="_xlnm._FilterDatabase" vbProcedure="false">'Product Backlog'!$A$4:$I$22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<sst xmlns="http://schemas.openxmlformats.org/spreadsheetml/2006/main" count="179" uniqueCount="114">
  <si>
    <t xml:space="preserve">DomoVida · Product Backlog priorizado (actualizado al 6 de octubre de 2026)</t>
  </si>
  <si>
    <t xml:space="preserve">Formato: Como [usuario], quiero [funcionalidad], para [beneficio]. Criterios en formato Dado / Cuando / Entonces. Prioridad MoSCoW. Fuente: Guía 1.5 (Tabla 10, HU-01 a HU-12) e historias agregadas en el Sprint 3 (HU-13 a HU-18). Tablero: https://github.com/users/AndresVergara74/projects/1</t>
  </si>
  <si>
    <t xml:space="preserve">ID</t>
  </si>
  <si>
    <t xml:space="preserve">Historia de usuario</t>
  </si>
  <si>
    <t xml:space="preserve">Prioridad</t>
  </si>
  <si>
    <t xml:space="preserve">Criterios de aceptación</t>
  </si>
  <si>
    <t xml:space="preserve">Objetivo</t>
  </si>
  <si>
    <t xml:space="preserve">Sprint</t>
  </si>
  <si>
    <t xml:space="preserve">Estado</t>
  </si>
  <si>
    <t xml:space="preserve">Prueba(s)</t>
  </si>
  <si>
    <t xml:space="preserve">Observaciones</t>
  </si>
  <si>
    <t xml:space="preserve">HU-01</t>
  </si>
  <si>
    <t xml:space="preserve">Como cuidador, quiero recibir una alerta en el panel cuando se detecte una caída, para acudir de inmediato.</t>
  </si>
  <si>
    <t xml:space="preserve">Must</t>
  </si>
  <si>
    <t xml:space="preserve">Dado un acelerómetro con Z &gt; 17 m/s², cuando el módulo procesa la lectura, entonces se crea una alerta que aparece en el panel en menos de 1 s.</t>
  </si>
  <si>
    <t xml:space="preserve">OE1 / OE3</t>
  </si>
  <si>
    <t xml:space="preserve">S3–S4</t>
  </si>
  <si>
    <t xml:space="preserve">Terminada</t>
  </si>
  <si>
    <t xml:space="preserve">PI-02, PR-01, PR-01b</t>
  </si>
  <si>
    <t xml:space="preserve">Bajo 1 s solo con backend y base en la misma región (216 ms en AWS EC2; 1.577 ms en Render + Supabase).</t>
  </si>
  <si>
    <t xml:space="preserve">HU-02</t>
  </si>
  <si>
    <t xml:space="preserve">Como cuidador, quiero recibir una notificación push en mi celular, para enterarme aunque no tenga el panel abierto.</t>
  </si>
  <si>
    <t xml:space="preserve">Dada una alerta crítica, cuando se registra en el backend, entonces ntfy la envía al tópico del cuidador en menos de 2 s.</t>
  </si>
  <si>
    <t xml:space="preserve">OE3</t>
  </si>
  <si>
    <t xml:space="preserve">S4</t>
  </si>
  <si>
    <t xml:space="preserve">PR-02</t>
  </si>
  <si>
    <t xml:space="preserve">30/30 avisos recibidos en el celular (03/10).</t>
  </si>
  <si>
    <t xml:space="preserve">HU-03</t>
  </si>
  <si>
    <t xml:space="preserve">Como cuidador, quiero que los eventos se sigan registrando cuando se corta internet, para no perder ninguna emergencia.</t>
  </si>
  <si>
    <t xml:space="preserve">Dado un corte de red de 10 min, cuando ocurren eventos, entonces se guardan en SQLite3 y se sincronizan al 100 % con Supabase al reconectar.</t>
  </si>
  <si>
    <t xml:space="preserve">OE1 / OE2</t>
  </si>
  <si>
    <t xml:space="preserve">En progreso</t>
  </si>
  <si>
    <t xml:space="preserve">PR-03</t>
  </si>
  <si>
    <t xml:space="preserve">Reabierta el 06/10: el registro sin internet funciona (10/10), pero falta la sincronización al reconectar.</t>
  </si>
  <si>
    <t xml:space="preserve">HU-04</t>
  </si>
  <si>
    <t xml:space="preserve">Como cuidador, quiero ser alertado ante gas o humo en la cocina, para evitar un incendio o intoxicación.</t>
  </si>
  <si>
    <t xml:space="preserve">Dada una lectura de gas &gt; 500 ppm o humo &gt; 800 ppm, cuando se procesa, entonces se genera una alerta crítica del tipo correspondiente.</t>
  </si>
  <si>
    <t xml:space="preserve">OE1</t>
  </si>
  <si>
    <t xml:space="preserve">S3</t>
  </si>
  <si>
    <t xml:space="preserve">PI-02</t>
  </si>
  <si>
    <t xml:space="preserve">Prueba unitaria PU-02 planificada.</t>
  </si>
  <si>
    <t xml:space="preserve">HU-05</t>
  </si>
  <si>
    <t xml:space="preserve">Como cuidador, quiero saber si no hay movimiento por un tiempo prolongado, para verificar que el adulto mayor está bien.</t>
  </si>
  <si>
    <t xml:space="preserve">Dado un PIR sin movimiento por más de 30 min, cuando se consulta /alertas/inactividad, entonces se informa la alerta de inactividad.</t>
  </si>
  <si>
    <t xml:space="preserve">PU-02 (planificada)</t>
  </si>
  <si>
    <t xml:space="preserve">Implementada; falta el caso de prueba formal.</t>
  </si>
  <si>
    <t xml:space="preserve">HU-06</t>
  </si>
  <si>
    <t xml:space="preserve">Como cuidador, quiero registrar la atención de cada alerta, para dejar trazabilidad de quién respondió y cuándo.</t>
  </si>
  <si>
    <t xml:space="preserve">Dada una alerta activa, cuando el cuidador la marca como atendida, entonces queda con estado, hora y campo resuelto_por.</t>
  </si>
  <si>
    <t xml:space="preserve">PS-01b</t>
  </si>
  <si>
    <t xml:space="preserve">Desde el 05/10, resuelto_por guarda el correo del cuidador autenticado.</t>
  </si>
  <si>
    <t xml:space="preserve">HU-07</t>
  </si>
  <si>
    <t xml:space="preserve">Como adulto mayor, quiero aceptar un consentimiento informado antes de activar el monitoreo, para decidir sobre mis datos.</t>
  </si>
  <si>
    <t xml:space="preserve">Dado un usuario nuevo, cuando abre el panel, entonces debe aceptar los 2 checkboxes del consentimiento antes de activar el monitoreo.</t>
  </si>
  <si>
    <t xml:space="preserve">OE2</t>
  </si>
  <si>
    <t xml:space="preserve">PU-03</t>
  </si>
  <si>
    <t xml:space="preserve">HU-08</t>
  </si>
  <si>
    <t xml:space="preserve">Como personal técnico, quiero que el RUT y el nombre se seudonimicen y que RLS restrinja el acceso, para cumplir la Ley N° 21.719.</t>
  </si>
  <si>
    <t xml:space="preserve">Dado un registro nuevo, cuando se guarda, entonces no contiene RUT ni nombre en texto plano y un rol no autorizado obtiene 0 filas.</t>
  </si>
  <si>
    <t xml:space="preserve">S4–S5</t>
  </si>
  <si>
    <t xml:space="preserve">PU-03, PI-03, PI-03b</t>
  </si>
  <si>
    <t xml:space="preserve">Terminada el 05/10 con RLS también en la tabla sensores.</t>
  </si>
  <si>
    <t xml:space="preserve">HU-09</t>
  </si>
  <si>
    <t xml:space="preserve">Como cuidador, quiero ver los 8 sensores en un mapa del hogar, para saber dónde ocurrió el evento.</t>
  </si>
  <si>
    <t xml:space="preserve">Should</t>
  </si>
  <si>
    <t xml:space="preserve">Dado el panel abierto, cuando entro a Ubicación, entonces veo los 8 sensores con su estado (verde en línea, rojo fuera de línea).</t>
  </si>
  <si>
    <t xml:space="preserve">Verificación manual</t>
  </si>
  <si>
    <t xml:space="preserve">HU-10</t>
  </si>
  <si>
    <t xml:space="preserve">Como cuidador, quiero filtrar el historial por sensor, tipo, habitación y alerta, para revisar eventos pasados.</t>
  </si>
  <si>
    <t xml:space="preserve">Dado el Historial, cuando aplico un filtro, entonces la tabla y el contador muestran solo los eventos que cumplen el criterio.</t>
  </si>
  <si>
    <t xml:space="preserve">HU-11</t>
  </si>
  <si>
    <t xml:space="preserve">Como personal técnico, quiero desplegar el backend en contenedores Docker sobre AWS Academy, para evidenciar el despliegue en la nube.</t>
  </si>
  <si>
    <t xml:space="preserve">Could</t>
  </si>
  <si>
    <t xml:space="preserve">Dada una instancia EC2, cuando ejecuto docker compose up --build, entonces la API responde en /docs y las evidencias quedan en el repositorio.</t>
  </si>
  <si>
    <t xml:space="preserve">PR-01b</t>
  </si>
  <si>
    <t xml:space="preserve">HU-12</t>
  </si>
  <si>
    <t xml:space="preserve">Como Product Owner, quiero aplicar la Escala SUS a 5–10 cuidadores, para validar la usabilidad del panel.</t>
  </si>
  <si>
    <t xml:space="preserve">Dado el prototipo desplegado, cuando los cuidadores completan el cuestionario, entonces el puntaje promedio es superior a 70.</t>
  </si>
  <si>
    <t xml:space="preserve">S6</t>
  </si>
  <si>
    <t xml:space="preserve">Pendiente</t>
  </si>
  <si>
    <t xml:space="preserve">SUS</t>
  </si>
  <si>
    <t xml:space="preserve">HU-13</t>
  </si>
  <si>
    <t xml:space="preserve">Como personal técnico, quiero que solo los sensores autorizados puedan enviar datos, para evitar alertas falsas.</t>
  </si>
  <si>
    <t xml:space="preserve">Dado un envío a /api/sensor-data, cuando no trae la clave correcta en X-API-Key, entonces el servidor responde 401; con la clave correcta responde 201.</t>
  </si>
  <si>
    <t xml:space="preserve">PS-01</t>
  </si>
  <si>
    <t xml:space="preserve">Agregada en el Sprint 3 a partir del hallazgo de seguridad 9.</t>
  </si>
  <si>
    <t xml:space="preserve">HU-14</t>
  </si>
  <si>
    <t xml:space="preserve">Como cuidador, quiero iniciar sesión para atender las alertas, para que nadie más pueda marcarlas como atendidas.</t>
  </si>
  <si>
    <t xml:space="preserve">Dada una alerta activa, cuando intento atenderla sin sesión o con un token inválido, entonces se rechaza (401); con mi sesión se acepta y queda mi correo.</t>
  </si>
  <si>
    <t xml:space="preserve">Agregada en el Sprint 3 (Supabase Auth).</t>
  </si>
  <si>
    <t xml:space="preserve">HU-15</t>
  </si>
  <si>
    <t xml:space="preserve">Como equipo de salud, quiero consultar los eventos y al paciente en formato HL7 FHIR R4, para integrarlos a la ficha clínica.</t>
  </si>
  <si>
    <t xml:space="preserve">Dado un evento, cuando consulto /api/fhir/Observation o /api/fhir/Patient, entonces recibo recursos válidos según FHIR R4 y sin datos identificatorios.</t>
  </si>
  <si>
    <t xml:space="preserve">PI-04, PI-05</t>
  </si>
  <si>
    <t xml:space="preserve">Adelantada desde la etapa post-prototipo.</t>
  </si>
  <si>
    <t xml:space="preserve">HU-16</t>
  </si>
  <si>
    <t xml:space="preserve">Como cuidador, quiero que la puerta principal solo alerte de noche o si queda abierta mucho rato, para no recibir falsas alarmas.</t>
  </si>
  <si>
    <t xml:space="preserve">Dada una apertura de la puerta principal, cuando ocurre entre las 22:00 y las 07:00 o la puerta sigue abierta 10 minutos, entonces se genera una alerta una sola vez.</t>
  </si>
  <si>
    <t xml:space="preserve">PU-04</t>
  </si>
  <si>
    <t xml:space="preserve">Agregada en el Sprint 3 (hallazgo 2).</t>
  </si>
  <si>
    <t xml:space="preserve">HU-17</t>
  </si>
  <si>
    <t xml:space="preserve">Como personal técnico, quiero proteger también las consultas de lectura de la API, para que solo el cuidador vea los eventos.</t>
  </si>
  <si>
    <t xml:space="preserve">Dada una consulta a /api/eventos o /api/alertas, cuando no hay sesión válida, entonces el servidor responde 401.</t>
  </si>
  <si>
    <t xml:space="preserve">PS-03 (por definir)</t>
  </si>
  <si>
    <t xml:space="preserve">Agregada el 06/10.</t>
  </si>
  <si>
    <t xml:space="preserve">HU-18</t>
  </si>
  <si>
    <t xml:space="preserve">Como personal técnico, quiero desplegar el sistema en Oracle Cloud Santiago, para acercar el servidor a los usuarios en Chile.</t>
  </si>
  <si>
    <t xml:space="preserve">Dada la instancia en Santiago, cuando se repite PR-01, entonces la alerta llega al panel en menos de 1 s.</t>
  </si>
  <si>
    <t xml:space="preserve">Bloqueada</t>
  </si>
  <si>
    <t xml:space="preserve">PR-01 (repetición)</t>
  </si>
  <si>
    <t xml:space="preserve">Sin capacidad gratuita en la región (03 y 05/10).</t>
  </si>
  <si>
    <t xml:space="preserve">Resumen del backlog</t>
  </si>
  <si>
    <t xml:space="preserve">Historias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</si>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</sst>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36"/>
  </cols>
  <sheetData>
    <row r="1" customFormat="false" ht="16.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2.8" hidden="false" customHeight="false" outlineLevel="0" collapsed="false">
      <c r="A5" s="4" t="s">
        <v>11</v>
      </c>
      <c r="B5" s="5" t="s">
        <v>12</v>
      </c>
      <c r="C5" s="5" t="s">
        <v>13</v>
      </c>
      <c r="D5" s="5" t="s">
        <v>14</v>
      </c>
      <c r="E5" s="5" t="s">
        <v>15</v>
      </c>
      <c r="F5" s="5" t="s">
        <v>16</v>
      </c>
      <c r="G5" s="6" t="s">
        <v>17</v>
      </c>
      <c r="H5" s="5" t="s">
        <v>18</v>
      </c>
      <c r="I5" s="5" t="s">
        <v>19</v>
      </c>
    </row>
    <row r="6" customFormat="false" ht="32.8" hidden="false" customHeight="false" outlineLevel="0" collapsed="false">
      <c r="A6" s="4" t="s">
        <v>20</v>
      </c>
      <c r="B6" s="5" t="s">
        <v>21</v>
      </c>
      <c r="C6" s="5" t="s">
        <v>13</v>
      </c>
      <c r="D6" s="5" t="s">
        <v>22</v>
      </c>
      <c r="E6" s="5" t="s">
        <v>23</v>
      </c>
      <c r="F6" s="5" t="s">
        <v>24</v>
      </c>
      <c r="G6" s="6" t="s">
        <v>17</v>
      </c>
      <c r="H6" s="5" t="s">
        <v>25</v>
      </c>
      <c r="I6" s="5" t="s">
        <v>26</v>
      </c>
    </row>
    <row r="7" customFormat="false" ht="32.8" hidden="false" customHeight="false" outlineLevel="0" collapsed="false">
      <c r="A7" s="4" t="s">
        <v>27</v>
      </c>
      <c r="B7" s="5" t="s">
        <v>28</v>
      </c>
      <c r="C7" s="5" t="s">
        <v>13</v>
      </c>
      <c r="D7" s="5" t="s">
        <v>29</v>
      </c>
      <c r="E7" s="5" t="s">
        <v>30</v>
      </c>
      <c r="F7" s="5" t="s">
        <v>16</v>
      </c>
      <c r="G7" s="7" t="s">
        <v>31</v>
      </c>
      <c r="H7" s="5" t="s">
        <v>32</v>
      </c>
      <c r="I7" s="5" t="s">
        <v>33</v>
      </c>
    </row>
    <row r="8" customFormat="false" ht="32.8" hidden="false" customHeight="false" outlineLevel="0" collapsed="false">
      <c r="A8" s="4" t="s">
        <v>34</v>
      </c>
      <c r="B8" s="5" t="s">
        <v>35</v>
      </c>
      <c r="C8" s="5" t="s">
        <v>13</v>
      </c>
      <c r="D8" s="5" t="s">
        <v>36</v>
      </c>
      <c r="E8" s="5" t="s">
        <v>37</v>
      </c>
      <c r="F8" s="5" t="s">
        <v>38</v>
      </c>
      <c r="G8" s="6" t="s">
        <v>17</v>
      </c>
      <c r="H8" s="5" t="s">
        <v>39</v>
      </c>
      <c r="I8" s="5" t="s">
        <v>40</v>
      </c>
    </row>
    <row r="9" customFormat="false" ht="32.8" hidden="false" customHeight="false" outlineLevel="0" collapsed="false">
      <c r="A9" s="4" t="s">
        <v>41</v>
      </c>
      <c r="B9" s="5" t="s">
        <v>42</v>
      </c>
      <c r="C9" s="5" t="s">
        <v>13</v>
      </c>
      <c r="D9" s="5" t="s">
        <v>43</v>
      </c>
      <c r="E9" s="5" t="s">
        <v>37</v>
      </c>
      <c r="F9" s="5" t="s">
        <v>38</v>
      </c>
      <c r="G9" s="6" t="s">
        <v>17</v>
      </c>
      <c r="H9" s="5" t="s">
        <v>44</v>
      </c>
      <c r="I9" s="5" t="s">
        <v>45</v>
      </c>
    </row>
    <row r="10" customFormat="false" ht="32.8" hidden="false" customHeight="false" outlineLevel="0" collapsed="false">
      <c r="A10" s="4" t="s">
        <v>46</v>
      </c>
      <c r="B10" s="5" t="s">
        <v>47</v>
      </c>
      <c r="C10" s="5" t="s">
        <v>13</v>
      </c>
      <c r="D10" s="5" t="s">
        <v>48</v>
      </c>
      <c r="E10" s="5" t="s">
        <v>23</v>
      </c>
      <c r="F10" s="5" t="s">
        <v>24</v>
      </c>
      <c r="G10" s="6" t="s">
        <v>17</v>
      </c>
      <c r="H10" s="5" t="s">
        <v>49</v>
      </c>
      <c r="I10" s="5" t="s">
        <v>50</v>
      </c>
    </row>
    <row r="11" customFormat="false" ht="32.8" hidden="false" customHeight="false" outlineLevel="0" collapsed="false">
      <c r="A11" s="4" t="s">
        <v>51</v>
      </c>
      <c r="B11" s="5" t="s">
        <v>52</v>
      </c>
      <c r="C11" s="5" t="s">
        <v>13</v>
      </c>
      <c r="D11" s="5" t="s">
        <v>53</v>
      </c>
      <c r="E11" s="5" t="s">
        <v>54</v>
      </c>
      <c r="F11" s="5" t="s">
        <v>24</v>
      </c>
      <c r="G11" s="6" t="s">
        <v>17</v>
      </c>
      <c r="H11" s="5" t="s">
        <v>55</v>
      </c>
      <c r="I11" s="5"/>
    </row>
    <row r="12" customFormat="false" ht="32.8" hidden="false" customHeight="false" outlineLevel="0" collapsed="false">
      <c r="A12" s="4" t="s">
        <v>56</v>
      </c>
      <c r="B12" s="5" t="s">
        <v>57</v>
      </c>
      <c r="C12" s="5" t="s">
        <v>13</v>
      </c>
      <c r="D12" s="5" t="s">
        <v>58</v>
      </c>
      <c r="E12" s="5" t="s">
        <v>54</v>
      </c>
      <c r="F12" s="5" t="s">
        <v>59</v>
      </c>
      <c r="G12" s="6" t="s">
        <v>17</v>
      </c>
      <c r="H12" s="5" t="s">
        <v>60</v>
      </c>
      <c r="I12" s="5" t="s">
        <v>61</v>
      </c>
    </row>
    <row r="13" customFormat="false" ht="32.8" hidden="false" customHeight="false" outlineLevel="0" collapsed="false">
      <c r="A13" s="4" t="s">
        <v>62</v>
      </c>
      <c r="B13" s="5" t="s">
        <v>63</v>
      </c>
      <c r="C13" s="5" t="s">
        <v>64</v>
      </c>
      <c r="D13" s="5" t="s">
        <v>65</v>
      </c>
      <c r="E13" s="5" t="s">
        <v>23</v>
      </c>
      <c r="F13" s="5" t="s">
        <v>24</v>
      </c>
      <c r="G13" s="6" t="s">
        <v>17</v>
      </c>
      <c r="H13" s="5" t="s">
        <v>66</v>
      </c>
      <c r="I13" s="5"/>
    </row>
    <row r="14" customFormat="false" ht="22.35" hidden="false" customHeight="false" outlineLevel="0" collapsed="false">
      <c r="A14" s="4" t="s">
        <v>67</v>
      </c>
      <c r="B14" s="5" t="s">
        <v>68</v>
      </c>
      <c r="C14" s="5" t="s">
        <v>64</v>
      </c>
      <c r="D14" s="5" t="s">
        <v>69</v>
      </c>
      <c r="E14" s="5" t="s">
        <v>23</v>
      </c>
      <c r="F14" s="5" t="s">
        <v>24</v>
      </c>
      <c r="G14" s="6" t="s">
        <v>17</v>
      </c>
      <c r="H14" s="5" t="s">
        <v>66</v>
      </c>
      <c r="I14" s="5"/>
    </row>
    <row r="15" customFormat="false" ht="32.8" hidden="false" customHeight="false" outlineLevel="0" collapsed="false">
      <c r="A15" s="4" t="s">
        <v>70</v>
      </c>
      <c r="B15" s="5" t="s">
        <v>71</v>
      </c>
      <c r="C15" s="5" t="s">
        <v>72</v>
      </c>
      <c r="D15" s="5" t="s">
        <v>73</v>
      </c>
      <c r="E15" s="5" t="s">
        <v>54</v>
      </c>
      <c r="F15" s="5" t="s">
        <v>59</v>
      </c>
      <c r="G15" s="6" t="s">
        <v>17</v>
      </c>
      <c r="H15" s="5" t="s">
        <v>74</v>
      </c>
      <c r="I15" s="5"/>
    </row>
    <row r="16" customFormat="false" ht="32.8" hidden="false" customHeight="false" outlineLevel="0" collapsed="false">
      <c r="A16" s="4" t="s">
        <v>75</v>
      </c>
      <c r="B16" s="5" t="s">
        <v>76</v>
      </c>
      <c r="C16" s="5" t="s">
        <v>64</v>
      </c>
      <c r="D16" s="5" t="s">
        <v>77</v>
      </c>
      <c r="E16" s="5" t="s">
        <v>23</v>
      </c>
      <c r="F16" s="5" t="s">
        <v>78</v>
      </c>
      <c r="G16" s="8" t="s">
        <v>79</v>
      </c>
      <c r="H16" s="5" t="s">
        <v>80</v>
      </c>
      <c r="I16" s="5"/>
    </row>
    <row r="17" customFormat="false" ht="32.8" hidden="false" customHeight="false" outlineLevel="0" collapsed="false">
      <c r="A17" s="4" t="s">
        <v>81</v>
      </c>
      <c r="B17" s="5" t="s">
        <v>82</v>
      </c>
      <c r="C17" s="5" t="s">
        <v>13</v>
      </c>
      <c r="D17" s="5" t="s">
        <v>83</v>
      </c>
      <c r="E17" s="5" t="s">
        <v>54</v>
      </c>
      <c r="F17" s="5" t="s">
        <v>38</v>
      </c>
      <c r="G17" s="6" t="s">
        <v>17</v>
      </c>
      <c r="H17" s="5" t="s">
        <v>84</v>
      </c>
      <c r="I17" s="5" t="s">
        <v>85</v>
      </c>
    </row>
    <row r="18" customFormat="false" ht="32.8" hidden="false" customHeight="false" outlineLevel="0" collapsed="false">
      <c r="A18" s="4" t="s">
        <v>86</v>
      </c>
      <c r="B18" s="5" t="s">
        <v>87</v>
      </c>
      <c r="C18" s="5" t="s">
        <v>13</v>
      </c>
      <c r="D18" s="5" t="s">
        <v>88</v>
      </c>
      <c r="E18" s="5" t="s">
        <v>23</v>
      </c>
      <c r="F18" s="5" t="s">
        <v>38</v>
      </c>
      <c r="G18" s="6" t="s">
        <v>17</v>
      </c>
      <c r="H18" s="5" t="s">
        <v>49</v>
      </c>
      <c r="I18" s="5" t="s">
        <v>89</v>
      </c>
    </row>
    <row r="19" customFormat="false" ht="32.8" hidden="false" customHeight="false" outlineLevel="0" collapsed="false">
      <c r="A19" s="4" t="s">
        <v>90</v>
      </c>
      <c r="B19" s="5" t="s">
        <v>91</v>
      </c>
      <c r="C19" s="5" t="s">
        <v>64</v>
      </c>
      <c r="D19" s="5" t="s">
        <v>92</v>
      </c>
      <c r="E19" s="5" t="s">
        <v>54</v>
      </c>
      <c r="F19" s="5" t="s">
        <v>38</v>
      </c>
      <c r="G19" s="6" t="s">
        <v>17</v>
      </c>
      <c r="H19" s="5" t="s">
        <v>93</v>
      </c>
      <c r="I19" s="5" t="s">
        <v>94</v>
      </c>
    </row>
    <row r="20" customFormat="false" ht="32.8" hidden="false" customHeight="false" outlineLevel="0" collapsed="false">
      <c r="A20" s="4" t="s">
        <v>95</v>
      </c>
      <c r="B20" s="5" t="s">
        <v>96</v>
      </c>
      <c r="C20" s="5" t="s">
        <v>64</v>
      </c>
      <c r="D20" s="5" t="s">
        <v>97</v>
      </c>
      <c r="E20" s="5" t="s">
        <v>37</v>
      </c>
      <c r="F20" s="5" t="s">
        <v>38</v>
      </c>
      <c r="G20" s="6" t="s">
        <v>17</v>
      </c>
      <c r="H20" s="5" t="s">
        <v>98</v>
      </c>
      <c r="I20" s="5" t="s">
        <v>99</v>
      </c>
    </row>
    <row r="21" customFormat="false" ht="32.8" hidden="false" customHeight="false" outlineLevel="0" collapsed="false">
      <c r="A21" s="4" t="s">
        <v>100</v>
      </c>
      <c r="B21" s="5" t="s">
        <v>101</v>
      </c>
      <c r="C21" s="5" t="s">
        <v>64</v>
      </c>
      <c r="D21" s="5" t="s">
        <v>102</v>
      </c>
      <c r="E21" s="5" t="s">
        <v>54</v>
      </c>
      <c r="F21" s="5" t="s">
        <v>24</v>
      </c>
      <c r="G21" s="8" t="s">
        <v>79</v>
      </c>
      <c r="H21" s="5" t="s">
        <v>103</v>
      </c>
      <c r="I21" s="5" t="s">
        <v>104</v>
      </c>
    </row>
    <row r="22" customFormat="false" ht="32.8" hidden="false" customHeight="false" outlineLevel="0" collapsed="false">
      <c r="A22" s="4" t="s">
        <v>105</v>
      </c>
      <c r="B22" s="5" t="s">
        <v>106</v>
      </c>
      <c r="C22" s="5" t="s">
        <v>72</v>
      </c>
      <c r="D22" s="5" t="s">
        <v>107</v>
      </c>
      <c r="E22" s="5" t="s">
        <v>23</v>
      </c>
      <c r="F22" s="5" t="s">
        <v>24</v>
      </c>
      <c r="G22" s="9" t="s">
        <v>108</v>
      </c>
      <c r="H22" s="5" t="s">
        <v>109</v>
      </c>
      <c r="I22" s="5" t="s">
        <v>110</v>
      </c>
    </row>
  </sheetData>
  <autoFilter ref="A4:I22"/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5" min="3" style="0" width="9"/>
  </cols>
  <sheetData>
    <row r="1" customFormat="false" ht="15" hidden="false" customHeight="false" outlineLevel="0" collapsed="false">
      <c r="A1" s="10" t="s">
        <v>111</v>
      </c>
    </row>
    <row r="3" customFormat="false" ht="15" hidden="false" customHeight="false" outlineLevel="0" collapsed="false">
      <c r="A3" s="11" t="s">
        <v>8</v>
      </c>
      <c r="B3" s="11" t="s">
        <v>112</v>
      </c>
      <c r="C3" s="11" t="s">
        <v>13</v>
      </c>
      <c r="D3" s="11" t="s">
        <v>64</v>
      </c>
      <c r="E3" s="11" t="s">
        <v>72</v>
      </c>
    </row>
    <row r="4" customFormat="false" ht="15" hidden="false" customHeight="false" outlineLevel="0" collapsed="false">
      <c r="A4" s="12" t="s">
        <v>17</v>
      </c>
      <c r="B4" s="12" t="n">
        <f aca="false">COUNTIF('Product Backlog'!$G$5:$G$22,A4)</f>
        <v>14</v>
      </c>
      <c r="C4" s="12" t="n">
        <f aca="false">COUNTIFS('Product Backlog'!$G$5:$G$22,$A4,'Product Backlog'!$C$5:$C$22,"Must")</f>
        <v>9</v>
      </c>
      <c r="D4" s="12" t="n">
        <f aca="false">COUNTIFS('Product Backlog'!$G$5:$G$22,$A4,'Product Backlog'!$C$5:$C$22,"Should")</f>
        <v>4</v>
      </c>
      <c r="E4" s="12" t="n">
        <f aca="false">COUNTIFS('Product Backlog'!$G$5:$G$22,$A4,'Product Backlog'!$C$5:$C$22,"Could")</f>
        <v>1</v>
      </c>
    </row>
    <row r="5" customFormat="false" ht="15" hidden="false" customHeight="false" outlineLevel="0" collapsed="false">
      <c r="A5" s="12" t="s">
        <v>31</v>
      </c>
      <c r="B5" s="12" t="n">
        <f aca="false">COUNTIF('Product Backlog'!$G$5:$G$22,A5)</f>
        <v>1</v>
      </c>
      <c r="C5" s="12" t="n">
        <f aca="false">COUNTIFS('Product Backlog'!$G$5:$G$22,$A5,'Product Backlog'!$C$5:$C$22,"Must")</f>
        <v>1</v>
      </c>
      <c r="D5" s="12" t="n">
        <f aca="false">COUNTIFS('Product Backlog'!$G$5:$G$22,$A5,'Product Backlog'!$C$5:$C$22,"Should")</f>
        <v>0</v>
      </c>
      <c r="E5" s="12" t="n">
        <f aca="false">COUNTIFS('Product Backlog'!$G$5:$G$22,$A5,'Product Backlog'!$C$5:$C$22,"Could")</f>
        <v>0</v>
      </c>
    </row>
    <row r="6" customFormat="false" ht="15" hidden="false" customHeight="false" outlineLevel="0" collapsed="false">
      <c r="A6" s="12" t="s">
        <v>79</v>
      </c>
      <c r="B6" s="12" t="n">
        <f aca="false">COUNTIF('Product Backlog'!$G$5:$G$22,A6)</f>
        <v>2</v>
      </c>
      <c r="C6" s="12" t="n">
        <f aca="false">COUNTIFS('Product Backlog'!$G$5:$G$22,$A6,'Product Backlog'!$C$5:$C$22,"Must")</f>
        <v>0</v>
      </c>
      <c r="D6" s="12" t="n">
        <f aca="false">COUNTIFS('Product Backlog'!$G$5:$G$22,$A6,'Product Backlog'!$C$5:$C$22,"Should")</f>
        <v>2</v>
      </c>
      <c r="E6" s="12" t="n">
        <f aca="false">COUNTIFS('Product Backlog'!$G$5:$G$22,$A6,'Product Backlog'!$C$5:$C$22,"Could")</f>
        <v>0</v>
      </c>
    </row>
    <row r="7" customFormat="false" ht="15" hidden="false" customHeight="false" outlineLevel="0" collapsed="false">
      <c r="A7" s="12" t="s">
        <v>108</v>
      </c>
      <c r="B7" s="12" t="n">
        <f aca="false">COUNTIF('Product Backlog'!$G$5:$G$22,A7)</f>
        <v>1</v>
      </c>
      <c r="C7" s="12" t="n">
        <f aca="false">COUNTIFS('Product Backlog'!$G$5:$G$22,$A7,'Product Backlog'!$C$5:$C$22,"Must")</f>
        <v>0</v>
      </c>
      <c r="D7" s="12" t="n">
        <f aca="false">COUNTIFS('Product Backlog'!$G$5:$G$22,$A7,'Product Backlog'!$C$5:$C$22,"Should")</f>
        <v>0</v>
      </c>
      <c r="E7" s="12" t="n">
        <f aca="false">COUNTIFS('Product Backlog'!$G$5:$G$22,$A7,'Product Backlog'!$C$5:$C$22,"Could")</f>
        <v>1</v>
      </c>
    </row>
    <row r="8" customFormat="false" ht="15" hidden="false" customHeight="false" outlineLevel="0" collapsed="false">
      <c r="A8" s="13" t="s">
        <v>113</v>
      </c>
      <c r="B8" s="13" t="n">
        <f aca="false">SUM(B4:B7)</f>
        <v>18</v>
      </c>
      <c r="C8" s="13" t="n">
        <f aca="false">SUM(C4:C7)</f>
        <v>10</v>
      </c>
      <c r="D8" s="13" t="n">
        <f aca="false">SUM(D4:D7)</f>
        <v>6</v>
      </c>
      <c r="E8" s="13" t="n">
        <f aca="false">SUM(E4:E7)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2026-10-06T14:20:18Z</dcterms:created>
  <dc:creator>openpyxl</dc:creator>
  <dc:description/>
  <dc:language>en-US</dc:language>
  <cp:lastModifiedBy/>
  <dcterms:modified xsi:type="dcterms:W3CDTF">2026-10-06T14:20:18Z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