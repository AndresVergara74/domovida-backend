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'Matriz'!$A$4:$J$27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9" fontId="1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9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9" fontId="13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6" customWidth="1" style="17" min="2" max="2"/>
    <col width="34" customWidth="1" style="17" min="3" max="3"/>
    <col width="10" customWidth="1" style="17" min="4" max="4"/>
    <col width="14" customWidth="1" style="17" min="5" max="5"/>
    <col width="34" customWidth="1" style="17" min="6" max="6"/>
    <col width="16" customWidth="1" style="17" min="7" max="7"/>
    <col width="32" customWidth="1" style="17" min="8" max="8"/>
    <col width="44" customWidth="1" style="17" min="9" max="9"/>
    <col width="13" customWidth="1" style="17" min="10" max="10"/>
  </cols>
  <sheetData>
    <row r="1" ht="16.15" customHeight="1" s="18">
      <c r="A1" s="19" t="inlineStr">
        <is>
          <t>DomoVida · Matriz de trazabilidad (actualizada al 6 de octubre de 2026)</t>
        </is>
      </c>
    </row>
    <row r="2" ht="30" customHeight="1" s="18">
      <c r="A2" s="20" t="inlineStr">
        <is>
          <t>Problema: las personas mayores que viven solas pueden sufrir caídas u otras emergencias sin que el cuidador lo sepa a tiempo. Cadena: Problema → Requisito → Historia de usuario → Componente → Prueba → Evidencia.</t>
        </is>
      </c>
    </row>
    <row r="4" ht="23.85" customHeight="1" s="18">
      <c r="A4" s="21" t="inlineStr">
        <is>
          <t>ID</t>
        </is>
      </c>
      <c r="B4" s="21" t="inlineStr">
        <is>
          <t>Tipo</t>
        </is>
      </c>
      <c r="C4" s="21" t="inlineStr">
        <is>
          <t>Requisito</t>
        </is>
      </c>
      <c r="D4" s="21" t="inlineStr">
        <is>
          <t>Objetivo</t>
        </is>
      </c>
      <c r="E4" s="21" t="inlineStr">
        <is>
          <t>Historia de usuario</t>
        </is>
      </c>
      <c r="F4" s="21" t="inlineStr">
        <is>
          <t>Componente / código</t>
        </is>
      </c>
      <c r="G4" s="21" t="inlineStr">
        <is>
          <t>Prueba(s)</t>
        </is>
      </c>
      <c r="H4" s="21" t="inlineStr">
        <is>
          <t>Resultado</t>
        </is>
      </c>
      <c r="I4" s="21" t="inlineStr">
        <is>
          <t>Evidencia (ruta en el repositorio)</t>
        </is>
      </c>
      <c r="J4" s="21" t="inlineStr">
        <is>
          <t>Estado</t>
        </is>
      </c>
    </row>
    <row r="5" ht="43.25" customHeight="1" s="18">
      <c r="A5" s="22" t="inlineStr">
        <is>
          <t>RF-01</t>
        </is>
      </c>
      <c r="B5" s="23" t="inlineStr">
        <is>
          <t>Funcional</t>
        </is>
      </c>
      <c r="C5" s="23" t="inlineStr">
        <is>
          <t>Detectar una caída y alertar al cuidador en el panel en tiempo real</t>
        </is>
      </c>
      <c r="D5" s="23" t="inlineStr">
        <is>
          <t>OE1 / OE3</t>
        </is>
      </c>
      <c r="E5" s="23" t="inlineStr">
        <is>
          <t>HU-01</t>
        </is>
      </c>
      <c r="F5" s="23" t="inlineStr">
        <is>
          <t>backend/simulate_sensors.py; backend/routers/sensor_router.py; backend/websocket_manager.py; frontend/src/useWebSocket.ts</t>
        </is>
      </c>
      <c r="G5" s="23" t="inlineStr">
        <is>
          <t>PI-02, PR-01, PR-01b</t>
        </is>
      </c>
      <c r="H5" s="23" t="inlineStr">
        <is>
          <t>30/30 alertas por WebSocket; 1.577 ms (Render) y 216 ms (AWS EC2)</t>
        </is>
      </c>
      <c r="I5" s="23" t="inlineStr">
        <is>
          <t>docs/fase2/evidencias_proyecto/documentacion/capturas/PR-01_latencia_resumen_post_ajuste.png; docs/fase2/evidencias_proyecto/documentacion/capturas/PR-01_latencia_resumen_aws_ec2.png</t>
        </is>
      </c>
      <c r="J5" s="24" t="inlineStr">
        <is>
          <t>Cumplido</t>
        </is>
      </c>
    </row>
    <row r="6" ht="22.35" customHeight="1" s="18">
      <c r="A6" s="22" t="inlineStr">
        <is>
          <t>RF-02</t>
        </is>
      </c>
      <c r="B6" s="23" t="inlineStr">
        <is>
          <t>Funcional</t>
        </is>
      </c>
      <c r="C6" s="23" t="inlineStr">
        <is>
          <t>Enviar una notificación push al celular del cuidador ante una alerta crítica</t>
        </is>
      </c>
      <c r="D6" s="23" t="inlineStr">
        <is>
          <t>OE3</t>
        </is>
      </c>
      <c r="E6" s="23" t="inlineStr">
        <is>
          <t>HU-02</t>
        </is>
      </c>
      <c r="F6" s="23" t="inlineStr">
        <is>
          <t>backend/notifier.py (ntfy.sh)</t>
        </is>
      </c>
      <c r="G6" s="23" t="inlineStr">
        <is>
          <t>PR-02</t>
        </is>
      </c>
      <c r="H6" s="23" t="inlineStr">
        <is>
          <t>30/30 avisos recibidos en el celular (100 %)</t>
        </is>
      </c>
      <c r="I6" s="23" t="inlineStr">
        <is>
          <t>docs/fase2/evidencias_proyecto/documentacion/capturas/PR-02_entrega_ntfy_celular_30de30.png</t>
        </is>
      </c>
      <c r="J6" s="24" t="inlineStr">
        <is>
          <t>Cumplido</t>
        </is>
      </c>
    </row>
    <row r="7" ht="43.25" customHeight="1" s="18">
      <c r="A7" s="22" t="inlineStr">
        <is>
          <t>RF-03</t>
        </is>
      </c>
      <c r="B7" s="23" t="inlineStr">
        <is>
          <t>Funcional</t>
        </is>
      </c>
      <c r="C7" s="23" t="inlineStr">
        <is>
          <t>Seguir registrando eventos sin internet y sincronizarlos con la nube al volver la conexión</t>
        </is>
      </c>
      <c r="D7" s="23" t="inlineStr">
        <is>
          <t>OE1 / OE2</t>
        </is>
      </c>
      <c r="E7" s="23" t="inlineStr">
        <is>
          <t>HU-03</t>
        </is>
      </c>
      <c r="F7" s="23" t="inlineStr">
        <is>
          <t>backend/database.py (SQLite, modo borde)</t>
        </is>
      </c>
      <c r="G7" s="23" t="inlineStr">
        <is>
          <t>PR-03</t>
        </is>
      </c>
      <c r="H7" s="23" t="inlineStr">
        <is>
          <t>10/10 caídas guardadas y mostradas sin internet; sin sincronización automática</t>
        </is>
      </c>
      <c r="I7" s="23" t="inlineStr">
        <is>
          <t>docs/fase2/evidencias_proyecto/documentacion/capturas/PR-03_consola_10de10_sin_internet.png; docs/fase2/evidencias_proyecto/documentacion/capturas/PR-03_sqlite_30_eventos.png</t>
        </is>
      </c>
      <c r="J7" s="25" t="inlineStr">
        <is>
          <t>Parcial</t>
        </is>
      </c>
    </row>
    <row r="8" ht="22.35" customHeight="1" s="18">
      <c r="A8" s="22" t="inlineStr">
        <is>
          <t>RF-04</t>
        </is>
      </c>
      <c r="B8" s="23" t="inlineStr">
        <is>
          <t>Funcional</t>
        </is>
      </c>
      <c r="C8" s="23" t="inlineStr">
        <is>
          <t>Generar alertas críticas ante gas o humo</t>
        </is>
      </c>
      <c r="D8" s="23" t="inlineStr">
        <is>
          <t>OE1</t>
        </is>
      </c>
      <c r="E8" s="23" t="inlineStr">
        <is>
          <t>HU-04</t>
        </is>
      </c>
      <c r="F8" s="23" t="inlineStr">
        <is>
          <t>backend/simulate_sensors.py (umbrales); trigger crear_alerta_automatica</t>
        </is>
      </c>
      <c r="G8" s="23" t="inlineStr">
        <is>
          <t>PI-02 (PU-02 planificada)</t>
        </is>
      </c>
      <c r="H8" s="23" t="inlineStr">
        <is>
          <t>Alertas de gas y humo con severidad crítica en la tabla alertas</t>
        </is>
      </c>
      <c r="I8" s="23" t="inlineStr">
        <is>
          <t>docs/fase2/evidencias_proyecto/documentacion/capturas/PI-02_trigger_alertas.png</t>
        </is>
      </c>
      <c r="J8" s="24" t="inlineStr">
        <is>
          <t>Cumplido</t>
        </is>
      </c>
    </row>
    <row r="9" ht="22.35" customHeight="1" s="18">
      <c r="A9" s="22" t="inlineStr">
        <is>
          <t>RF-05</t>
        </is>
      </c>
      <c r="B9" s="23" t="inlineStr">
        <is>
          <t>Funcional</t>
        </is>
      </c>
      <c r="C9" s="23" t="inlineStr">
        <is>
          <t>Informar la inactividad prolongada del adulto mayor</t>
        </is>
      </c>
      <c r="D9" s="23" t="inlineStr">
        <is>
          <t>OE1</t>
        </is>
      </c>
      <c r="E9" s="23" t="inlineStr">
        <is>
          <t>HU-05</t>
        </is>
      </c>
      <c r="F9" s="23" t="inlineStr">
        <is>
          <t>GET /api/alertas/inactividad (backend/routers/alerta_router.py)</t>
        </is>
      </c>
      <c r="G9" s="23" t="inlineStr">
        <is>
          <t>PU-02 (planificada)</t>
        </is>
      </c>
      <c r="H9" s="23" t="inlineStr">
        <is>
          <t>Implementado; prueba formal pendiente</t>
        </is>
      </c>
      <c r="I9" s="23" t="inlineStr">
        <is>
          <t>—</t>
        </is>
      </c>
      <c r="J9" s="26" t="inlineStr">
        <is>
          <t>Prueba pendiente</t>
        </is>
      </c>
    </row>
    <row r="10" ht="32.8" customHeight="1" s="18">
      <c r="A10" s="22" t="inlineStr">
        <is>
          <t>RF-06</t>
        </is>
      </c>
      <c r="B10" s="23" t="inlineStr">
        <is>
          <t>Funcional</t>
        </is>
      </c>
      <c r="C10" s="23" t="inlineStr">
        <is>
          <t>Registrar la atención de cada alerta y quién la atendió</t>
        </is>
      </c>
      <c r="D10" s="23" t="inlineStr">
        <is>
          <t>OE3</t>
        </is>
      </c>
      <c r="E10" s="23" t="inlineStr">
        <is>
          <t>HU-06</t>
        </is>
      </c>
      <c r="F10" s="23" t="inlineStr">
        <is>
          <t>PATCH /api/alertas/{id}/resolver; backend/auth_cuidador.py; frontend/src/LoginCuidador.tsx; backend/alertas_servicio.py</t>
        </is>
      </c>
      <c r="G10" s="23" t="inlineStr">
        <is>
          <t>PS-01b, PU-06, PI-07</t>
        </is>
      </c>
      <c r="H10" s="23" t="inlineStr">
        <is>
          <t>Sin sesión 401, con sesión 200 y correo en resuelto_por (3/3 en producción); la atención queda en la tabla alertas (fuente única de verdad, PI-07)</t>
        </is>
      </c>
      <c r="I10" s="23" t="inlineStr">
        <is>
          <t>docs/fase2/evidencias_proyecto/documentacion/capturas/PS-01b_produccion_3de3.png</t>
        </is>
      </c>
      <c r="J10" s="24" t="inlineStr">
        <is>
          <t>Cumplido</t>
        </is>
      </c>
    </row>
    <row r="11" ht="22.35" customHeight="1" s="18">
      <c r="A11" s="22" t="inlineStr">
        <is>
          <t>RF-07</t>
        </is>
      </c>
      <c r="B11" s="23" t="inlineStr">
        <is>
          <t>Funcional</t>
        </is>
      </c>
      <c r="C11" s="23" t="inlineStr">
        <is>
          <t>Solicitar el consentimiento informado antes de activar el monitoreo</t>
        </is>
      </c>
      <c r="D11" s="23" t="inlineStr">
        <is>
          <t>OE2</t>
        </is>
      </c>
      <c r="E11" s="23" t="inlineStr">
        <is>
          <t>HU-07</t>
        </is>
      </c>
      <c r="F11" s="23" t="inlineStr">
        <is>
          <t>frontend/src/Consentimiento.tsx</t>
        </is>
      </c>
      <c r="G11" s="23" t="inlineStr">
        <is>
          <t>PU-03</t>
        </is>
      </c>
      <c r="H11" s="23" t="inlineStr">
        <is>
          <t>Consentimiento obligatorio con iniciales y hash del RUT</t>
        </is>
      </c>
      <c r="I11" s="23" t="inlineStr">
        <is>
          <t>docs/fase2/evidencias_proyecto/documentacion/capturas/consentimiento_formulario_lleno.png</t>
        </is>
      </c>
      <c r="J11" s="24" t="inlineStr">
        <is>
          <t>Cumplido</t>
        </is>
      </c>
    </row>
    <row r="12" ht="64.15000000000001" customHeight="1" s="18">
      <c r="A12" s="22" t="inlineStr">
        <is>
          <t>RF-08</t>
        </is>
      </c>
      <c r="B12" s="23" t="inlineStr">
        <is>
          <t>Funcional</t>
        </is>
      </c>
      <c r="C12" s="23" t="inlineStr">
        <is>
          <t>Seudonimizar los datos personales y restringir el acceso con RLS</t>
        </is>
      </c>
      <c r="D12" s="23" t="inlineStr">
        <is>
          <t>OE2</t>
        </is>
      </c>
      <c r="E12" s="23" t="inlineStr">
        <is>
          <t>HU-08</t>
        </is>
      </c>
      <c r="F12" s="23" t="inlineStr">
        <is>
          <t>Consentimiento.tsx (SHA-256 con sal); políticas RLS en Supabase</t>
        </is>
      </c>
      <c r="G12" s="23" t="inlineStr">
        <is>
          <t>PU-03, PI-03, PI-03b</t>
        </is>
      </c>
      <c r="H12" s="23" t="inlineStr">
        <is>
          <t>RUT nunca en texto plano; 0 filas para el rol anónimo en eventos, alertas y sensores</t>
        </is>
      </c>
      <c r="I12" s="23" t="inlineStr">
        <is>
          <t>docs/fase2/evidencias_proyecto/documentacion/capturas/PU-03_localstorage_hash.png; docs/fase2/evidencias_proyecto/documentacion/capturas/PI-03_rls_rol_anon.png; docs/fase2/evidencias_proyecto/documentacion/capturas/PI-03b_rls_sensores_anon_0.png</t>
        </is>
      </c>
      <c r="J12" s="24" t="inlineStr">
        <is>
          <t>Cumplido</t>
        </is>
      </c>
    </row>
    <row r="13" ht="22.35" customHeight="1" s="18">
      <c r="A13" s="22" t="inlineStr">
        <is>
          <t>RF-09</t>
        </is>
      </c>
      <c r="B13" s="23" t="inlineStr">
        <is>
          <t>Funcional</t>
        </is>
      </c>
      <c r="C13" s="23" t="inlineStr">
        <is>
          <t>Mostrar los 8 sensores en un mapa del hogar</t>
        </is>
      </c>
      <c r="D13" s="23" t="inlineStr">
        <is>
          <t>OE3</t>
        </is>
      </c>
      <c r="E13" s="23" t="inlineStr">
        <is>
          <t>HU-09</t>
        </is>
      </c>
      <c r="F13" s="23" t="inlineStr">
        <is>
          <t>frontend/src/MapaHogar.tsx (Leaflet)</t>
        </is>
      </c>
      <c r="G13" s="23" t="inlineStr">
        <is>
          <t>Verificación manual (PS-02 planificada)</t>
        </is>
      </c>
      <c r="H13" s="23" t="inlineStr">
        <is>
          <t>Implementado; sin caso de prueba formal</t>
        </is>
      </c>
      <c r="I13" s="23" t="inlineStr">
        <is>
          <t>—</t>
        </is>
      </c>
      <c r="J13" s="26" t="inlineStr">
        <is>
          <t>Prueba pendiente</t>
        </is>
      </c>
    </row>
    <row r="14" ht="22.35" customHeight="1" s="18">
      <c r="A14" s="22" t="inlineStr">
        <is>
          <t>RF-10</t>
        </is>
      </c>
      <c r="B14" s="23" t="inlineStr">
        <is>
          <t>Funcional</t>
        </is>
      </c>
      <c r="C14" s="23" t="inlineStr">
        <is>
          <t>Filtrar el historial por sensor, tipo, habitación y alerta</t>
        </is>
      </c>
      <c r="D14" s="23" t="inlineStr">
        <is>
          <t>OE3</t>
        </is>
      </c>
      <c r="E14" s="23" t="inlineStr">
        <is>
          <t>HU-10</t>
        </is>
      </c>
      <c r="F14" s="23" t="inlineStr">
        <is>
          <t>frontend/src/App.tsx (pestaña Historial)</t>
        </is>
      </c>
      <c r="G14" s="23" t="inlineStr">
        <is>
          <t>Verificación manual</t>
        </is>
      </c>
      <c r="H14" s="23" t="inlineStr">
        <is>
          <t>Implementado; sin caso de prueba formal</t>
        </is>
      </c>
      <c r="I14" s="23" t="inlineStr">
        <is>
          <t>—</t>
        </is>
      </c>
      <c r="J14" s="26" t="inlineStr">
        <is>
          <t>Prueba pendiente</t>
        </is>
      </c>
    </row>
    <row r="15" ht="22.35" customHeight="1" s="18">
      <c r="A15" s="22" t="inlineStr">
        <is>
          <t>RF-11</t>
        </is>
      </c>
      <c r="B15" s="23" t="inlineStr">
        <is>
          <t>Funcional</t>
        </is>
      </c>
      <c r="C15" s="23" t="inlineStr">
        <is>
          <t>Desplegar el sistema con Docker en la nube</t>
        </is>
      </c>
      <c r="D15" s="23" t="inlineStr">
        <is>
          <t>OE2</t>
        </is>
      </c>
      <c r="E15" s="23" t="inlineStr">
        <is>
          <t>HU-11</t>
        </is>
      </c>
      <c r="F15" s="23" t="inlineStr">
        <is>
          <t>backend/Dockerfile; frontend/Dockerfile; docker-compose.yml</t>
        </is>
      </c>
      <c r="G15" s="23" t="inlineStr">
        <is>
          <t>PR-01b</t>
        </is>
      </c>
      <c r="H15" s="23" t="inlineStr">
        <is>
          <t>docker compose up en AWS EC2; 30/30 alertas bajo 1 s</t>
        </is>
      </c>
      <c r="I15" s="23" t="inlineStr">
        <is>
          <t>docs/fase2/evidencias_proyecto/documentacion/capturas/PR-01_latencia_resumen_aws_ec2.png</t>
        </is>
      </c>
      <c r="J15" s="24" t="inlineStr">
        <is>
          <t>Cumplido</t>
        </is>
      </c>
    </row>
    <row r="16" ht="22.35" customHeight="1" s="18">
      <c r="A16" s="22" t="inlineStr">
        <is>
          <t>RF-12</t>
        </is>
      </c>
      <c r="B16" s="23" t="inlineStr">
        <is>
          <t>Funcional</t>
        </is>
      </c>
      <c r="C16" s="23" t="inlineStr">
        <is>
          <t>Validar la usabilidad del panel con cuidadores (Escala SUS &gt; 70)</t>
        </is>
      </c>
      <c r="D16" s="23" t="inlineStr">
        <is>
          <t>OE3</t>
        </is>
      </c>
      <c r="E16" s="23" t="inlineStr">
        <is>
          <t>HU-12</t>
        </is>
      </c>
      <c r="F16" s="23" t="inlineStr">
        <is>
          <t>Panel publicado en Vercel</t>
        </is>
      </c>
      <c r="G16" s="23" t="inlineStr">
        <is>
          <t>SUS (Sprint 6)</t>
        </is>
      </c>
      <c r="H16" s="23" t="inlineStr">
        <is>
          <t>No iniciado</t>
        </is>
      </c>
      <c r="I16" s="23" t="inlineStr">
        <is>
          <t>—</t>
        </is>
      </c>
      <c r="J16" s="27" t="inlineStr">
        <is>
          <t>Pendiente</t>
        </is>
      </c>
    </row>
    <row r="17" ht="43.25" customHeight="1" s="18">
      <c r="A17" s="22" t="inlineStr">
        <is>
          <t>RF-13</t>
        </is>
      </c>
      <c r="B17" s="23" t="inlineStr">
        <is>
          <t>Funcional</t>
        </is>
      </c>
      <c r="C17" s="23" t="inlineStr">
        <is>
          <t>Exponer los datos con el estándar HL7 FHIR R4 (Observation y Patient seudonimizado)</t>
        </is>
      </c>
      <c r="D17" s="23" t="inlineStr">
        <is>
          <t>OE2</t>
        </is>
      </c>
      <c r="E17" s="23" t="inlineStr">
        <is>
          <t>Tarea técnica (OE2)</t>
        </is>
      </c>
      <c r="F17" s="23" t="inlineStr">
        <is>
          <t>backend/routers/fhir_router.py</t>
        </is>
      </c>
      <c r="G17" s="23" t="inlineStr">
        <is>
          <t>PI-04, PI-05</t>
        </is>
      </c>
      <c r="H17" s="23" t="inlineStr">
        <is>
          <t>7/7 Observation y 8/8 Patient válidos según FHIR R4</t>
        </is>
      </c>
      <c r="I17" s="23" t="inlineStr">
        <is>
          <t>docs/fase2/evidencias_proyecto/documentacion/pruebas/PI-04_validacion_fhir.py; docs/fase2/evidencias_proyecto/documentacion/pruebas/PI-05_resultado_fhir_patient.txt</t>
        </is>
      </c>
      <c r="J17" s="24" t="inlineStr">
        <is>
          <t>Cumplido</t>
        </is>
      </c>
    </row>
    <row r="18" ht="22.35" customHeight="1" s="18">
      <c r="A18" s="22" t="inlineStr">
        <is>
          <t>RF-14</t>
        </is>
      </c>
      <c r="B18" s="23" t="inlineStr">
        <is>
          <t>Funcional</t>
        </is>
      </c>
      <c r="C18" s="23" t="inlineStr">
        <is>
          <t>Alertar por la puerta principal solo de noche o si queda abierta 10 minutos o más</t>
        </is>
      </c>
      <c r="D18" s="23" t="inlineStr">
        <is>
          <t>OE1</t>
        </is>
      </c>
      <c r="E18" s="23" t="inlineStr">
        <is>
          <t>Ajuste de HU-01/HU-04</t>
        </is>
      </c>
      <c r="F18" s="23" t="inlineStr">
        <is>
          <t>backend/reglas_puerta.py</t>
        </is>
      </c>
      <c r="G18" s="23" t="inlineStr">
        <is>
          <t>PU-04</t>
        </is>
      </c>
      <c r="H18" s="23" t="inlineStr">
        <is>
          <t>10/10 casos aprobados</t>
        </is>
      </c>
      <c r="I18" s="23" t="inlineStr">
        <is>
          <t>docs/fase2/evidencias_proyecto/documentacion/pruebas/PU-04_resultado_regla_puerta.txt</t>
        </is>
      </c>
      <c r="J18" s="24" t="inlineStr">
        <is>
          <t>Cumplido</t>
        </is>
      </c>
    </row>
    <row r="19" ht="22.35" customHeight="1" s="18">
      <c r="A19" s="22" t="inlineStr">
        <is>
          <t>RNF-01</t>
        </is>
      </c>
      <c r="B19" s="23" t="inlineStr">
        <is>
          <t>No funcional · Rendimiento</t>
        </is>
      </c>
      <c r="C19" s="23" t="inlineStr">
        <is>
          <t>La alerta llega al panel en menos de 1 s</t>
        </is>
      </c>
      <c r="D19" s="23" t="inlineStr">
        <is>
          <t>OE3</t>
        </is>
      </c>
      <c r="E19" s="23" t="inlineStr">
        <is>
          <t>HU-01</t>
        </is>
      </c>
      <c r="F19" s="23" t="inlineStr">
        <is>
          <t>Infraestructura: backend y base de datos en la misma región</t>
        </is>
      </c>
      <c r="G19" s="23" t="inlineStr">
        <is>
          <t>PR-01, PR-01b</t>
        </is>
      </c>
      <c r="H19" s="23" t="inlineStr">
        <is>
          <t>Cumple en AWS EC2 (216 ms); no cumple en Render + Supabase (1.577 ms)</t>
        </is>
      </c>
      <c r="I19" s="23" t="inlineStr">
        <is>
          <t>docs/fase2/evidencias_proyecto/documentacion/capturas/PR-01_latencia_resumen_aws_ec2.png</t>
        </is>
      </c>
      <c r="J19" s="25" t="inlineStr">
        <is>
          <t>Parcial</t>
        </is>
      </c>
    </row>
    <row r="20" ht="22.35" customHeight="1" s="18">
      <c r="A20" s="22" t="inlineStr">
        <is>
          <t>RNF-02</t>
        </is>
      </c>
      <c r="B20" s="23" t="inlineStr">
        <is>
          <t>No funcional · Disponibilidad</t>
        </is>
      </c>
      <c r="C20" s="23" t="inlineStr">
        <is>
          <t>Más del 95 % de las notificaciones llegan al celular</t>
        </is>
      </c>
      <c r="D20" s="23" t="inlineStr">
        <is>
          <t>OE3</t>
        </is>
      </c>
      <c r="E20" s="23" t="inlineStr">
        <is>
          <t>HU-02</t>
        </is>
      </c>
      <c r="F20" s="23" t="inlineStr">
        <is>
          <t>backend/notifier.py</t>
        </is>
      </c>
      <c r="G20" s="23" t="inlineStr">
        <is>
          <t>PR-02</t>
        </is>
      </c>
      <c r="H20" s="23" t="inlineStr">
        <is>
          <t>100 % (30/30)</t>
        </is>
      </c>
      <c r="I20" s="23" t="inlineStr">
        <is>
          <t>docs/fase2/evidencias_proyecto/documentacion/capturas/PR-02_entrega_ntfy_celular_30de30.png</t>
        </is>
      </c>
      <c r="J20" s="24" t="inlineStr">
        <is>
          <t>Cumplido</t>
        </is>
      </c>
    </row>
    <row r="21" ht="22.35" customHeight="1" s="18">
      <c r="A21" s="22" t="inlineStr">
        <is>
          <t>RNF-03</t>
        </is>
      </c>
      <c r="B21" s="23" t="inlineStr">
        <is>
          <t>No funcional · Seguridad</t>
        </is>
      </c>
      <c r="C21" s="23" t="inlineStr">
        <is>
          <t>Solo los sensores autorizados pueden enviar datos</t>
        </is>
      </c>
      <c r="D21" s="23" t="inlineStr">
        <is>
          <t>OE2</t>
        </is>
      </c>
      <c r="E21" s="23" t="inlineStr">
        <is>
          <t>Tarea técnica (OE2)</t>
        </is>
      </c>
      <c r="F21" s="23" t="inlineStr">
        <is>
          <t>backend/seguridad.py (cabecera X-API-Key)</t>
        </is>
      </c>
      <c r="G21" s="23" t="inlineStr">
        <is>
          <t>PS-01</t>
        </is>
      </c>
      <c r="H21" s="23" t="inlineStr">
        <is>
          <t>Sin clave o clave falsa 401; clave real 201 (3/3 en producción)</t>
        </is>
      </c>
      <c r="I21" s="23" t="inlineStr">
        <is>
          <t>docs/fase2/evidencias_proyecto/documentacion/capturas/PS-01_produccion_3de3.png</t>
        </is>
      </c>
      <c r="J21" s="24" t="inlineStr">
        <is>
          <t>Cumplido</t>
        </is>
      </c>
    </row>
    <row r="22" ht="22.35" customHeight="1" s="18">
      <c r="A22" s="22" t="inlineStr">
        <is>
          <t>RNF-04</t>
        </is>
      </c>
      <c r="B22" s="23" t="inlineStr">
        <is>
          <t>No funcional · Seguridad</t>
        </is>
      </c>
      <c r="C22" s="23" t="inlineStr">
        <is>
          <t>Solo el cuidador autenticado puede atender alertas</t>
        </is>
      </c>
      <c r="D22" s="23" t="inlineStr">
        <is>
          <t>OE3</t>
        </is>
      </c>
      <c r="E22" s="23" t="inlineStr">
        <is>
          <t>HU-06</t>
        </is>
      </c>
      <c r="F22" s="23" t="inlineStr">
        <is>
          <t>backend/auth_cuidador.py; Supabase Auth</t>
        </is>
      </c>
      <c r="G22" s="23" t="inlineStr">
        <is>
          <t>PS-01b</t>
        </is>
      </c>
      <c r="H22" s="23" t="inlineStr">
        <is>
          <t>3/3 en producción</t>
        </is>
      </c>
      <c r="I22" s="23" t="inlineStr">
        <is>
          <t>docs/fase2/evidencias_proyecto/documentacion/capturas/PS-01b_produccion_3de3.png</t>
        </is>
      </c>
      <c r="J22" s="24" t="inlineStr">
        <is>
          <t>Cumplido</t>
        </is>
      </c>
    </row>
    <row r="23" ht="22.35" customHeight="1" s="18">
      <c r="A23" s="22" t="inlineStr">
        <is>
          <t>RNF-05</t>
        </is>
      </c>
      <c r="B23" s="23" t="inlineStr">
        <is>
          <t>No funcional · Privacidad</t>
        </is>
      </c>
      <c r="C23" s="23" t="inlineStr">
        <is>
          <t>Cumplir los principios de la Ley N° 21.719 (seudonimización y minimización)</t>
        </is>
      </c>
      <c r="D23" s="23" t="inlineStr">
        <is>
          <t>OE2</t>
        </is>
      </c>
      <c r="E23" s="23" t="inlineStr">
        <is>
          <t>HU-07, HU-08</t>
        </is>
      </c>
      <c r="F23" s="23" t="inlineStr">
        <is>
          <t>Consentimiento.tsx; RLS; fhir_router.py (Patient sin datos identificatorios)</t>
        </is>
      </c>
      <c r="G23" s="23" t="inlineStr">
        <is>
          <t>PU-03, PI-03, PI-03b, PI-05</t>
        </is>
      </c>
      <c r="H23" s="23" t="inlineStr">
        <is>
          <t>Sin RUT, nombre ni dirección en la base ni en FHIR</t>
        </is>
      </c>
      <c r="I23" s="23" t="inlineStr">
        <is>
          <t>docs/fase2/evidencias_proyecto/documentacion/pruebas/PI-05_patient_produccion_render.json</t>
        </is>
      </c>
      <c r="J23" s="24" t="inlineStr">
        <is>
          <t>Cumplido</t>
        </is>
      </c>
    </row>
    <row r="24" ht="22.35" customHeight="1" s="18">
      <c r="A24" s="22" t="inlineStr">
        <is>
          <t>RNF-06</t>
        </is>
      </c>
      <c r="B24" s="23" t="inlineStr">
        <is>
          <t>No funcional · Continuidad</t>
        </is>
      </c>
      <c r="C24" s="23" t="inlineStr">
        <is>
          <t>El sistema funciona sin internet en el hogar (modo borde)</t>
        </is>
      </c>
      <c r="D24" s="23" t="inlineStr">
        <is>
          <t>OE1</t>
        </is>
      </c>
      <c r="E24" s="23" t="inlineStr">
        <is>
          <t>HU-03</t>
        </is>
      </c>
      <c r="F24" s="23" t="inlineStr">
        <is>
          <t>SQLite local; panel local</t>
        </is>
      </c>
      <c r="G24" s="23" t="inlineStr">
        <is>
          <t>PR-03</t>
        </is>
      </c>
      <c r="H24" s="23" t="inlineStr">
        <is>
          <t>10/10 sin internet; falta sincronización al reconectar</t>
        </is>
      </c>
      <c r="I24" s="23" t="inlineStr">
        <is>
          <t>docs/fase2/evidencias_proyecto/documentacion/capturas/PR-03_panel_local_sin_internet_ntfy_offline.png</t>
        </is>
      </c>
      <c r="J24" s="25" t="inlineStr">
        <is>
          <t>Parcial</t>
        </is>
      </c>
    </row>
    <row r="25" ht="22.35" customHeight="1" s="18">
      <c r="A25" s="22" t="inlineStr">
        <is>
          <t>RNF-07</t>
        </is>
      </c>
      <c r="B25" s="23" t="inlineStr">
        <is>
          <t>No funcional · Portabilidad</t>
        </is>
      </c>
      <c r="C25" s="23" t="inlineStr">
        <is>
          <t>El sistema se levanta completo con docker compose up</t>
        </is>
      </c>
      <c r="D25" s="23" t="inlineStr">
        <is>
          <t>OE2</t>
        </is>
      </c>
      <c r="E25" s="23" t="inlineStr">
        <is>
          <t>HU-11</t>
        </is>
      </c>
      <c r="F25" s="23" t="inlineStr">
        <is>
          <t>docker-compose.yml; .env.example</t>
        </is>
      </c>
      <c r="G25" s="23" t="inlineStr">
        <is>
          <t>PR-01b</t>
        </is>
      </c>
      <c r="H25" s="23" t="inlineStr">
        <is>
          <t>Despliegue reproducido en AWS EC2</t>
        </is>
      </c>
      <c r="I25" s="23" t="inlineStr">
        <is>
          <t>docs/fase2/evidencias_proyecto/documentacion/capturas/PR-01_latencia_resumen_aws_ec2.png</t>
        </is>
      </c>
      <c r="J25" s="24" t="inlineStr">
        <is>
          <t>Cumplido</t>
        </is>
      </c>
    </row>
    <row r="26" ht="22.35" customHeight="1" s="18">
      <c r="A26" s="22" t="inlineStr">
        <is>
          <t>RNF-08</t>
        </is>
      </c>
      <c r="B26" s="23" t="inlineStr">
        <is>
          <t>No funcional · Rendimiento</t>
        </is>
      </c>
      <c r="C26" s="23" t="inlineStr">
        <is>
          <t>Soportar carga concurrente de sensores</t>
        </is>
      </c>
      <c r="D26" s="23" t="inlineStr">
        <is>
          <t>OE2</t>
        </is>
      </c>
      <c r="E26" s="23" t="inlineStr">
        <is>
          <t>HU-11</t>
        </is>
      </c>
      <c r="F26" s="23" t="inlineStr">
        <is>
          <t>API FastAPI</t>
        </is>
      </c>
      <c r="G26" s="23" t="inlineStr">
        <is>
          <t>PR-04 (Locust)</t>
        </is>
      </c>
      <c r="H26" s="23" t="inlineStr">
        <is>
          <t>Planificada para el Sprint 5</t>
        </is>
      </c>
      <c r="I26" s="23" t="inlineStr">
        <is>
          <t>—</t>
        </is>
      </c>
      <c r="J26" s="27" t="inlineStr">
        <is>
          <t>Pendiente</t>
        </is>
      </c>
    </row>
    <row r="27" ht="22.35" customHeight="1" s="18">
      <c r="A27" s="22" t="inlineStr">
        <is>
          <t>RNF-09</t>
        </is>
      </c>
      <c r="B27" s="23" t="inlineStr">
        <is>
          <t>No funcional · Integridad de datos</t>
        </is>
      </c>
      <c r="C27" s="23" t="inlineStr">
        <is>
          <t>Fechas consistentes en UTC con zona horaria y una sola fuente de verdad para la atención de cada alerta; cambios de estructura solo con migraciones versionadas</t>
        </is>
      </c>
      <c r="D27" s="23" t="inlineStr">
        <is>
          <t>OE2</t>
        </is>
      </c>
      <c r="E27" s="23" t="inlineStr">
        <is>
          <t>HU-19 (rediseño de la base, etapas 1 y 3)</t>
        </is>
      </c>
      <c r="F27" s="23" t="inlineStr">
        <is>
          <t>backend/tiempo.py; backend/alertas_servicio.py; backend/migrations/ (000, 001, 002)</t>
        </is>
      </c>
      <c r="G27" s="23" t="inlineStr">
        <is>
          <t>PU-05, PU-06, PI-06, PI-07</t>
        </is>
      </c>
      <c r="H27" s="23" t="inlineStr">
        <is>
          <t>PU-05 9/9; PU-06 13/13; migraciones aplicadas en Supabase: 0 diferencias de atención (antes 1.463), 0 duplicados, horas correctas en el panel</t>
        </is>
      </c>
      <c r="I27" s="23" t="inlineStr">
        <is>
          <t>docs/fase2/evidencias_proyecto/documentacion/pruebas/PI-06_migracion_fechas.md; docs/fase2/evidencias_proyecto/documentacion/capturas/PI-07_migracion_002_ok.png</t>
        </is>
      </c>
      <c r="J27" s="24" t="inlineStr">
        <is>
          <t>Cumplido</t>
        </is>
      </c>
    </row>
    <row r="28" ht="15" customHeight="1" s="18"/>
    <row r="29">
      <c r="A29" s="28" t="inlineStr">
        <is>
          <t>Estados: Cumplido = la prueba cumple el criterio; Parcial = cumple en parte; Prueba pendiente = implementado sin caso de prueba formal; Pendiente = no iniciado. Fuente de los resultados: registro_pruebas.md.</t>
        </is>
      </c>
    </row>
  </sheetData>
  <autoFilter ref="A4:J27"/>
  <mergeCells count="2">
    <mergeCell ref="A29:J29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2" customWidth="1" style="17" min="2" max="3"/>
  </cols>
  <sheetData>
    <row r="1" ht="15" customHeight="1" s="18">
      <c r="A1" s="29" t="inlineStr">
        <is>
          <t>Resumen por estado</t>
        </is>
      </c>
    </row>
    <row r="3" ht="15" customHeight="1" s="18">
      <c r="A3" s="30" t="inlineStr">
        <is>
          <t>Estado</t>
        </is>
      </c>
      <c r="B3" s="30" t="inlineStr">
        <is>
          <t>Requisitos</t>
        </is>
      </c>
      <c r="C3" s="30" t="inlineStr">
        <is>
          <t>% del total</t>
        </is>
      </c>
    </row>
    <row r="4" ht="15" customHeight="1" s="18">
      <c r="A4" s="31" t="inlineStr">
        <is>
          <t>Cumplido</t>
        </is>
      </c>
      <c r="B4" s="31">
        <f>COUNTIF(Matriz!$J$5:$J$27,A4)</f>
        <v/>
      </c>
      <c r="C4" s="32">
        <f>IF($B$8=0,0,B4/$B$8)</f>
        <v/>
      </c>
    </row>
    <row r="5" ht="15" customHeight="1" s="18">
      <c r="A5" s="31" t="inlineStr">
        <is>
          <t>Parcial</t>
        </is>
      </c>
      <c r="B5" s="31">
        <f>COUNTIF(Matriz!$J$5:$J$27,A5)</f>
        <v/>
      </c>
      <c r="C5" s="32">
        <f>IF($B$8=0,0,B5/$B$8)</f>
        <v/>
      </c>
    </row>
    <row r="6" ht="15" customHeight="1" s="18">
      <c r="A6" s="31" t="inlineStr">
        <is>
          <t>Prueba pendiente</t>
        </is>
      </c>
      <c r="B6" s="31">
        <f>COUNTIF(Matriz!$J$5:$J$27,A6)</f>
        <v/>
      </c>
      <c r="C6" s="32">
        <f>IF($B$8=0,0,B6/$B$8)</f>
        <v/>
      </c>
    </row>
    <row r="7" ht="15" customHeight="1" s="18">
      <c r="A7" s="31" t="inlineStr">
        <is>
          <t>Pendiente</t>
        </is>
      </c>
      <c r="B7" s="31">
        <f>COUNTIF(Matriz!$J$5:$J$27,A7)</f>
        <v/>
      </c>
      <c r="C7" s="32">
        <f>IF($B$8=0,0,B7/$B$8)</f>
        <v/>
      </c>
    </row>
    <row r="8" ht="15" customHeight="1" s="18">
      <c r="A8" s="33" t="inlineStr">
        <is>
          <t>Total</t>
        </is>
      </c>
      <c r="B8" s="33">
        <f>SUM(B4:B7)</f>
        <v/>
      </c>
      <c r="C8" s="34">
        <f>SUM(C4:C7)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2026-10-06T14:12:30Z</dcterms:created>
  <dcterms:modified xmlns:dcterms="http://purl.org/dc/terms/" xmlns:xsi="http://www.w3.org/2001/XMLSchema-instance" xsi:type="dcterms:W3CDTF">2026-10-06T16:53:54Z</dcterms:modified>
  <cp:revision>0</cp:revision>
</cp:coreProperties>
</file>