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z" sheetId="1" state="visible" r:id="rId3"/>
    <sheet name="Resumen" sheetId="2" state="visible" r:id="rId4"/>
  </sheets>
  <definedNames>
    <definedName function="false" hidden="true" localSheetId="0" name="_xlnm._FilterDatabase" vbProcedure="false">Matriz!$A$4:$J$26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<sst xmlns="http://schemas.openxmlformats.org/spreadsheetml/2006/main" count="242" uniqueCount="167">
  <si>
    <t xml:space="preserve">DomoVida · Matriz de trazabilidad (actualizada al 6 de octubre de 2026)</t>
  </si>
  <si>
    <t xml:space="preserve">Problema: las personas mayores que viven solas pueden sufrir caídas u otras emergencias sin que el cuidador lo sepa a tiempo. Cadena: Problema → Requisito → Historia de usuario → Componente → Prueba → Evidencia.</t>
  </si>
  <si>
    <t xml:space="preserve">ID</t>
  </si>
  <si>
    <t xml:space="preserve">Tipo</t>
  </si>
  <si>
    <t xml:space="preserve">Requisito</t>
  </si>
  <si>
    <t xml:space="preserve">Objetivo</t>
  </si>
  <si>
    <t xml:space="preserve">Historia de usuario</t>
  </si>
  <si>
    <t xml:space="preserve">Componente / código</t>
  </si>
  <si>
    <t xml:space="preserve">Prueba(s)</t>
  </si>
  <si>
    <t xml:space="preserve">Resultado</t>
  </si>
  <si>
    <t xml:space="preserve">Evidencia (ruta en el repositorio)</t>
  </si>
  <si>
    <t xml:space="preserve">Estado</t>
  </si>
  <si>
    <t xml:space="preserve">RF-01</t>
  </si>
  <si>
    <t xml:space="preserve">Funcional</t>
  </si>
  <si>
    <t xml:space="preserve">Detectar una caída y alertar al cuidador en el panel en tiempo real</t>
  </si>
  <si>
    <t xml:space="preserve">OE1 / OE3</t>
  </si>
  <si>
    <t xml:space="preserve">HU-01</t>
  </si>
  <si>
    <t xml:space="preserve">backend/simulate_sensors.py; backend/routers/sensor_router.py; backend/websocket_manager.py; frontend/src/useWebSocket.ts</t>
  </si>
  <si>
    <t xml:space="preserve">PI-02, PR-01, PR-01b</t>
  </si>
  <si>
    <t xml:space="preserve">30/30 alertas por WebSocket; 1.577 ms (Render) y 216 ms (AWS EC2)</t>
  </si>
  <si>
    <t xml:space="preserve">docs/fase2/evidencias_proyecto/documentacion/capturas/PR-01_latencia_resumen_post_ajuste.png; docs/fase2/evidencias_proyecto/documentacion/capturas/PR-01_latencia_resumen_aws_ec2.png</t>
  </si>
  <si>
    <t xml:space="preserve">Cumplido</t>
  </si>
  <si>
    <t xml:space="preserve">RF-02</t>
  </si>
  <si>
    <t xml:space="preserve">Enviar una notificación push al celular del cuidador ante una alerta crítica</t>
  </si>
  <si>
    <t xml:space="preserve">OE3</t>
  </si>
  <si>
    <t xml:space="preserve">HU-02</t>
  </si>
  <si>
    <t xml:space="preserve">backend/notifier.py (ntfy.sh)</t>
  </si>
  <si>
    <t xml:space="preserve">PR-02</t>
  </si>
  <si>
    <t xml:space="preserve">30/30 avisos recibidos en el celular (100 %)</t>
  </si>
  <si>
    <t xml:space="preserve">docs/fase2/evidencias_proyecto/documentacion/capturas/PR-02_entrega_ntfy_celular_30de30.png</t>
  </si>
  <si>
    <t xml:space="preserve">RF-03</t>
  </si>
  <si>
    <t xml:space="preserve">Seguir registrando eventos sin internet y sincronizarlos con la nube al volver la conexión</t>
  </si>
  <si>
    <t xml:space="preserve">OE1 / OE2</t>
  </si>
  <si>
    <t xml:space="preserve">HU-03</t>
  </si>
  <si>
    <t xml:space="preserve">backend/database.py (SQLite, modo borde)</t>
  </si>
  <si>
    <t xml:space="preserve">PR-03</t>
  </si>
  <si>
    <t xml:space="preserve">10/10 caídas guardadas y mostradas sin internet; sin sincronización automática</t>
  </si>
  <si>
    <t xml:space="preserve">docs/fase2/evidencias_proyecto/documentacion/capturas/PR-03_consola_10de10_sin_internet.png; docs/fase2/evidencias_proyecto/documentacion/capturas/PR-03_sqlite_30_eventos.png</t>
  </si>
  <si>
    <t xml:space="preserve">Parcial</t>
  </si>
  <si>
    <t xml:space="preserve">RF-04</t>
  </si>
  <si>
    <t xml:space="preserve">Generar alertas críticas ante gas o humo</t>
  </si>
  <si>
    <t xml:space="preserve">OE1</t>
  </si>
  <si>
    <t xml:space="preserve">HU-04</t>
  </si>
  <si>
    <t xml:space="preserve">backend/simulate_sensors.py (umbrales); trigger crear_alerta_automatica</t>
  </si>
  <si>
    <t xml:space="preserve">PI-02 (PU-02 planificada)</t>
  </si>
  <si>
    <t xml:space="preserve">Alertas de gas y humo con severidad crítica en la tabla alertas</t>
  </si>
  <si>
    <t xml:space="preserve">docs/fase2/evidencias_proyecto/documentacion/capturas/PI-02_trigger_alertas.png</t>
  </si>
  <si>
    <t xml:space="preserve">RF-05</t>
  </si>
  <si>
    <t xml:space="preserve">Informar la inactividad prolongada del adulto mayor</t>
  </si>
  <si>
    <t xml:space="preserve">HU-05</t>
  </si>
  <si>
    <t xml:space="preserve">GET /api/alertas/inactividad (backend/routers/alerta_router.py)</t>
  </si>
  <si>
    <t xml:space="preserve">PU-02 (planificada)</t>
  </si>
  <si>
    <t xml:space="preserve">Implementado; prueba formal pendiente</t>
  </si>
  <si>
    <t xml:space="preserve">—</t>
  </si>
  <si>
    <t xml:space="preserve">Prueba pendiente</t>
  </si>
  <si>
    <t xml:space="preserve">RF-06</t>
  </si>
  <si>
    <t xml:space="preserve">Registrar la atención de cada alerta y quién la atendió</t>
  </si>
  <si>
    <t xml:space="preserve">HU-06</t>
  </si>
  <si>
    <t xml:space="preserve">PATCH /api/alertas/{id}/resolver; backend/auth_cuidador.py; frontend/src/LoginCuidador.tsx</t>
  </si>
  <si>
    <t xml:space="preserve">PS-01b</t>
  </si>
  <si>
    <t xml:space="preserve">Sin sesión 401, con sesión 200 y correo en resuelto_por (3/3 en producción)</t>
  </si>
  <si>
    <t xml:space="preserve">docs/fase2/evidencias_proyecto/documentacion/capturas/PS-01b_produccion_3de3.png</t>
  </si>
  <si>
    <t xml:space="preserve">RF-07</t>
  </si>
  <si>
    <t xml:space="preserve">Solicitar el consentimiento informado antes de activar el monitoreo</t>
  </si>
  <si>
    <t xml:space="preserve">OE2</t>
  </si>
  <si>
    <t xml:space="preserve">HU-07</t>
  </si>
  <si>
    <t xml:space="preserve">frontend/src/Consentimiento.tsx</t>
  </si>
  <si>
    <t xml:space="preserve">PU-03</t>
  </si>
  <si>
    <t xml:space="preserve">Consentimiento obligatorio con iniciales y hash del RUT</t>
  </si>
  <si>
    <t xml:space="preserve">docs/fase2/evidencias_proyecto/documentacion/capturas/consentimiento_formulario_lleno.png</t>
  </si>
  <si>
    <t xml:space="preserve">RF-08</t>
  </si>
  <si>
    <t xml:space="preserve">Seudonimizar los datos personales y restringir el acceso con RLS</t>
  </si>
  <si>
    <t xml:space="preserve">HU-08</t>
  </si>
  <si>
    <t xml:space="preserve">Consentimiento.tsx (SHA-256 con sal); políticas RLS en Supabase</t>
  </si>
  <si>
    <t xml:space="preserve">PU-03, PI-03, PI-03b</t>
  </si>
  <si>
    <t xml:space="preserve">RUT nunca en texto plano; 0 filas para el rol anónimo en eventos, alertas y sensores</t>
  </si>
  <si>
    <t xml:space="preserve">docs/fase2/evidencias_proyecto/documentacion/capturas/PU-03_localstorage_hash.png; docs/fase2/evidencias_proyecto/documentacion/capturas/PI-03_rls_rol_anon.png; docs/fase2/evidencias_proyecto/documentacion/capturas/PI-03b_rls_sensores_anon_0.png</t>
  </si>
  <si>
    <t xml:space="preserve">RF-09</t>
  </si>
  <si>
    <t xml:space="preserve">Mostrar los 8 sensores en un mapa del hogar</t>
  </si>
  <si>
    <t xml:space="preserve">HU-09</t>
  </si>
  <si>
    <t xml:space="preserve">frontend/src/MapaHogar.tsx (Leaflet)</t>
  </si>
  <si>
    <t xml:space="preserve">Verificación manual (PS-02 planificada)</t>
  </si>
  <si>
    <t xml:space="preserve">Implementado; sin caso de prueba formal</t>
  </si>
  <si>
    <t xml:space="preserve">RF-10</t>
  </si>
  <si>
    <t xml:space="preserve">Filtrar el historial por sensor, tipo, habitación y alerta</t>
  </si>
  <si>
    <t xml:space="preserve">HU-10</t>
  </si>
  <si>
    <t xml:space="preserve">frontend/src/App.tsx (pestaña Historial)</t>
  </si>
  <si>
    <t xml:space="preserve">Verificación manual</t>
  </si>
  <si>
    <t xml:space="preserve">RF-11</t>
  </si>
  <si>
    <t xml:space="preserve">Desplegar el sistema con Docker en la nube</t>
  </si>
  <si>
    <t xml:space="preserve">HU-11</t>
  </si>
  <si>
    <t xml:space="preserve">backend/Dockerfile; frontend/Dockerfile; docker-compose.yml</t>
  </si>
  <si>
    <t xml:space="preserve">PR-01b</t>
  </si>
  <si>
    <t xml:space="preserve">docker compose up en AWS EC2; 30/30 alertas bajo 1 s</t>
  </si>
  <si>
    <t xml:space="preserve">docs/fase2/evidencias_proyecto/documentacion/capturas/PR-01_latencia_resumen_aws_ec2.png</t>
  </si>
  <si>
    <t xml:space="preserve">RF-12</t>
  </si>
  <si>
    <t xml:space="preserve">Validar la usabilidad del panel con cuidadores (Escala SUS &gt; 70)</t>
  </si>
  <si>
    <t xml:space="preserve">HU-12</t>
  </si>
  <si>
    <t xml:space="preserve">Panel publicado en Vercel</t>
  </si>
  <si>
    <t xml:space="preserve">SUS (Sprint 6)</t>
  </si>
  <si>
    <t xml:space="preserve">No iniciado</t>
  </si>
  <si>
    <t xml:space="preserve">Pendiente</t>
  </si>
  <si>
    <t xml:space="preserve">RF-13</t>
  </si>
  <si>
    <t xml:space="preserve">Exponer los datos con el estándar HL7 FHIR R4 (Observation y Patient seudonimizado)</t>
  </si>
  <si>
    <t xml:space="preserve">Tarea técnica (OE2)</t>
  </si>
  <si>
    <t xml:space="preserve">backend/routers/fhir_router.py</t>
  </si>
  <si>
    <t xml:space="preserve">PI-04, PI-05</t>
  </si>
  <si>
    <t xml:space="preserve">7/7 Observation y 8/8 Patient válidos según FHIR R4</t>
  </si>
  <si>
    <t xml:space="preserve">docs/fase2/evidencias_proyecto/documentacion/pruebas/PI-04_validacion_fhir.py; docs/fase2/evidencias_proyecto/documentacion/pruebas/PI-05_resultado_fhir_patient.txt</t>
  </si>
  <si>
    <t xml:space="preserve">RF-14</t>
  </si>
  <si>
    <t xml:space="preserve">Alertar por la puerta principal solo de noche o si queda abierta 10 minutos o más</t>
  </si>
  <si>
    <t xml:space="preserve">Ajuste de HU-01/HU-04</t>
  </si>
  <si>
    <t xml:space="preserve">backend/reglas_puerta.py</t>
  </si>
  <si>
    <t xml:space="preserve">PU-04</t>
  </si>
  <si>
    <t xml:space="preserve">10/10 casos aprobados</t>
  </si>
  <si>
    <t xml:space="preserve">docs/fase2/evidencias_proyecto/documentacion/pruebas/PU-04_resultado_regla_puerta.txt</t>
  </si>
  <si>
    <t xml:space="preserve">RNF-01</t>
  </si>
  <si>
    <t xml:space="preserve">No funcional · Rendimiento</t>
  </si>
  <si>
    <t xml:space="preserve">La alerta llega al panel en menos de 1 s</t>
  </si>
  <si>
    <t xml:space="preserve">Infraestructura: backend y base de datos en la misma región</t>
  </si>
  <si>
    <t xml:space="preserve">PR-01, PR-01b</t>
  </si>
  <si>
    <t xml:space="preserve">Cumple en AWS EC2 (216 ms); no cumple en Render + Supabase (1.577 ms)</t>
  </si>
  <si>
    <t xml:space="preserve">RNF-02</t>
  </si>
  <si>
    <t xml:space="preserve">No funcional · Disponibilidad</t>
  </si>
  <si>
    <t xml:space="preserve">Más del 95 % de las notificaciones llegan al celular</t>
  </si>
  <si>
    <t xml:space="preserve">backend/notifier.py</t>
  </si>
  <si>
    <t xml:space="preserve">100 % (30/30)</t>
  </si>
  <si>
    <t xml:space="preserve">RNF-03</t>
  </si>
  <si>
    <t xml:space="preserve">No funcional · Seguridad</t>
  </si>
  <si>
    <t xml:space="preserve">Solo los sensores autorizados pueden enviar datos</t>
  </si>
  <si>
    <t xml:space="preserve">backend/seguridad.py (cabecera X-API-Key)</t>
  </si>
  <si>
    <t xml:space="preserve">PS-01</t>
  </si>
  <si>
    <t xml:space="preserve">Sin clave o clave falsa 401; clave real 201 (3/3 en producción)</t>
  </si>
  <si>
    <t xml:space="preserve">docs/fase2/evidencias_proyecto/documentacion/capturas/PS-01_produccion_3de3.png</t>
  </si>
  <si>
    <t xml:space="preserve">RNF-04</t>
  </si>
  <si>
    <t xml:space="preserve">Solo el cuidador autenticado puede atender alertas</t>
  </si>
  <si>
    <t xml:space="preserve">backend/auth_cuidador.py; Supabase Auth</t>
  </si>
  <si>
    <t xml:space="preserve">3/3 en producción</t>
  </si>
  <si>
    <t xml:space="preserve">RNF-05</t>
  </si>
  <si>
    <t xml:space="preserve">No funcional · Privacidad</t>
  </si>
  <si>
    <t xml:space="preserve">Cumplir los principios de la Ley N° 21.719 (seudonimización y minimización)</t>
  </si>
  <si>
    <t xml:space="preserve">HU-07, HU-08</t>
  </si>
  <si>
    <t xml:space="preserve">Consentimiento.tsx; RLS; fhir_router.py (Patient sin datos identificatorios)</t>
  </si>
  <si>
    <t xml:space="preserve">PU-03, PI-03, PI-03b, PI-05</t>
  </si>
  <si>
    <t xml:space="preserve">Sin RUT, nombre ni dirección en la base ni en FHIR</t>
  </si>
  <si>
    <t xml:space="preserve">docs/fase2/evidencias_proyecto/documentacion/pruebas/PI-05_patient_produccion_render.json</t>
  </si>
  <si>
    <t xml:space="preserve">RNF-06</t>
  </si>
  <si>
    <t xml:space="preserve">No funcional · Continuidad</t>
  </si>
  <si>
    <t xml:space="preserve">El sistema funciona sin internet en el hogar (modo borde)</t>
  </si>
  <si>
    <t xml:space="preserve">SQLite local; panel local</t>
  </si>
  <si>
    <t xml:space="preserve">10/10 sin internet; falta sincronización al reconectar</t>
  </si>
  <si>
    <t xml:space="preserve">docs/fase2/evidencias_proyecto/documentacion/capturas/PR-03_panel_local_sin_internet_ntfy_offline.png</t>
  </si>
  <si>
    <t xml:space="preserve">RNF-07</t>
  </si>
  <si>
    <t xml:space="preserve">No funcional · Portabilidad</t>
  </si>
  <si>
    <t xml:space="preserve">El sistema se levanta completo con docker compose up</t>
  </si>
  <si>
    <t xml:space="preserve">docker-compose.yml; .env.example</t>
  </si>
  <si>
    <t xml:space="preserve">Despliegue reproducido en AWS EC2</t>
  </si>
  <si>
    <t xml:space="preserve">RNF-08</t>
  </si>
  <si>
    <t xml:space="preserve">Soportar carga concurrente de sensores</t>
  </si>
  <si>
    <t xml:space="preserve">API FastAPI</t>
  </si>
  <si>
    <t xml:space="preserve">PR-04 (Locust)</t>
  </si>
  <si>
    <t xml:space="preserve">Planificada para el Sprint 5</t>
  </si>
  <si>
    <t xml:space="preserve">Estados: Cumplido = la prueba cumple el criterio; Parcial = cumple en parte; Prueba pendiente = implementado sin caso de prueba formal; Pendiente = no iniciado. Fuente de los resultados: registro_pruebas.md.</t>
  </si>
  <si>
    <t xml:space="preserve">Resumen por estado</t>
  </si>
  <si>
    <t xml:space="preserve">Requisitos</t>
  </si>
  <si>
    <t xml:space="preserve">% del total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</si>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</sst>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6"/>
    <col collapsed="false" customWidth="true" hidden="false" outlineLevel="0" max="8" min="8" style="0" width="32"/>
    <col collapsed="false" customWidth="true" hidden="false" outlineLevel="0" max="9" min="9" style="0" width="44"/>
    <col collapsed="false" customWidth="true" hidden="false" outlineLevel="0" max="10" min="10" style="0" width="13"/>
  </cols>
  <sheetData>
    <row r="1" customFormat="false" ht="16.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43.25" hidden="false" customHeight="false" outlineLevel="0" collapsed="false">
      <c r="A5" s="4" t="s">
        <v>12</v>
      </c>
      <c r="B5" s="5" t="s">
        <v>13</v>
      </c>
      <c r="C5" s="5" t="s">
        <v>14</v>
      </c>
      <c r="D5" s="5" t="s">
        <v>15</v>
      </c>
      <c r="E5" s="5" t="s">
        <v>16</v>
      </c>
      <c r="F5" s="5" t="s">
        <v>17</v>
      </c>
      <c r="G5" s="5" t="s">
        <v>18</v>
      </c>
      <c r="H5" s="5" t="s">
        <v>19</v>
      </c>
      <c r="I5" s="5" t="s">
        <v>20</v>
      </c>
      <c r="J5" s="6" t="s">
        <v>21</v>
      </c>
    </row>
    <row r="6" customFormat="false" ht="22.35" hidden="false" customHeight="false" outlineLevel="0" collapsed="false">
      <c r="A6" s="4" t="s">
        <v>22</v>
      </c>
      <c r="B6" s="5" t="s">
        <v>13</v>
      </c>
      <c r="C6" s="5" t="s">
        <v>23</v>
      </c>
      <c r="D6" s="5" t="s">
        <v>24</v>
      </c>
      <c r="E6" s="5" t="s">
        <v>25</v>
      </c>
      <c r="F6" s="5" t="s">
        <v>26</v>
      </c>
      <c r="G6" s="5" t="s">
        <v>27</v>
      </c>
      <c r="H6" s="5" t="s">
        <v>28</v>
      </c>
      <c r="I6" s="5" t="s">
        <v>29</v>
      </c>
      <c r="J6" s="6" t="s">
        <v>21</v>
      </c>
    </row>
    <row r="7" customFormat="false" ht="43.25" hidden="false" customHeight="false" outlineLevel="0" collapsed="false">
      <c r="A7" s="4" t="s">
        <v>30</v>
      </c>
      <c r="B7" s="5" t="s">
        <v>13</v>
      </c>
      <c r="C7" s="5" t="s">
        <v>31</v>
      </c>
      <c r="D7" s="5" t="s">
        <v>32</v>
      </c>
      <c r="E7" s="5" t="s">
        <v>33</v>
      </c>
      <c r="F7" s="5" t="s">
        <v>34</v>
      </c>
      <c r="G7" s="5" t="s">
        <v>35</v>
      </c>
      <c r="H7" s="5" t="s">
        <v>36</v>
      </c>
      <c r="I7" s="5" t="s">
        <v>37</v>
      </c>
      <c r="J7" s="7" t="s">
        <v>38</v>
      </c>
    </row>
    <row r="8" customFormat="false" ht="22.35" hidden="false" customHeight="false" outlineLevel="0" collapsed="false">
      <c r="A8" s="4" t="s">
        <v>39</v>
      </c>
      <c r="B8" s="5" t="s">
        <v>13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5" t="s">
        <v>45</v>
      </c>
      <c r="I8" s="5" t="s">
        <v>46</v>
      </c>
      <c r="J8" s="6" t="s">
        <v>21</v>
      </c>
    </row>
    <row r="9" customFormat="false" ht="22.35" hidden="false" customHeight="false" outlineLevel="0" collapsed="false">
      <c r="A9" s="4" t="s">
        <v>47</v>
      </c>
      <c r="B9" s="5" t="s">
        <v>13</v>
      </c>
      <c r="C9" s="5" t="s">
        <v>48</v>
      </c>
      <c r="D9" s="5" t="s">
        <v>41</v>
      </c>
      <c r="E9" s="5" t="s">
        <v>49</v>
      </c>
      <c r="F9" s="5" t="s">
        <v>50</v>
      </c>
      <c r="G9" s="5" t="s">
        <v>51</v>
      </c>
      <c r="H9" s="5" t="s">
        <v>52</v>
      </c>
      <c r="I9" s="5" t="s">
        <v>53</v>
      </c>
      <c r="J9" s="8" t="s">
        <v>54</v>
      </c>
    </row>
    <row r="10" customFormat="false" ht="32.8" hidden="false" customHeight="false" outlineLevel="0" collapsed="false">
      <c r="A10" s="4" t="s">
        <v>55</v>
      </c>
      <c r="B10" s="5" t="s">
        <v>13</v>
      </c>
      <c r="C10" s="5" t="s">
        <v>56</v>
      </c>
      <c r="D10" s="5" t="s">
        <v>24</v>
      </c>
      <c r="E10" s="5" t="s">
        <v>57</v>
      </c>
      <c r="F10" s="5" t="s">
        <v>58</v>
      </c>
      <c r="G10" s="5" t="s">
        <v>59</v>
      </c>
      <c r="H10" s="5" t="s">
        <v>60</v>
      </c>
      <c r="I10" s="5" t="s">
        <v>61</v>
      </c>
      <c r="J10" s="6" t="s">
        <v>21</v>
      </c>
    </row>
    <row r="11" customFormat="false" ht="22.35" hidden="false" customHeight="false" outlineLevel="0" collapsed="false">
      <c r="A11" s="4" t="s">
        <v>62</v>
      </c>
      <c r="B11" s="5" t="s">
        <v>13</v>
      </c>
      <c r="C11" s="5" t="s">
        <v>63</v>
      </c>
      <c r="D11" s="5" t="s">
        <v>64</v>
      </c>
      <c r="E11" s="5" t="s">
        <v>65</v>
      </c>
      <c r="F11" s="5" t="s">
        <v>66</v>
      </c>
      <c r="G11" s="5" t="s">
        <v>67</v>
      </c>
      <c r="H11" s="5" t="s">
        <v>68</v>
      </c>
      <c r="I11" s="5" t="s">
        <v>69</v>
      </c>
      <c r="J11" s="6" t="s">
        <v>21</v>
      </c>
    </row>
    <row r="12" customFormat="false" ht="64.15" hidden="false" customHeight="false" outlineLevel="0" collapsed="false">
      <c r="A12" s="4" t="s">
        <v>70</v>
      </c>
      <c r="B12" s="5" t="s">
        <v>13</v>
      </c>
      <c r="C12" s="5" t="s">
        <v>71</v>
      </c>
      <c r="D12" s="5" t="s">
        <v>64</v>
      </c>
      <c r="E12" s="5" t="s">
        <v>72</v>
      </c>
      <c r="F12" s="5" t="s">
        <v>73</v>
      </c>
      <c r="G12" s="5" t="s">
        <v>74</v>
      </c>
      <c r="H12" s="5" t="s">
        <v>75</v>
      </c>
      <c r="I12" s="5" t="s">
        <v>76</v>
      </c>
      <c r="J12" s="6" t="s">
        <v>21</v>
      </c>
    </row>
    <row r="13" customFormat="false" ht="22.35" hidden="false" customHeight="false" outlineLevel="0" collapsed="false">
      <c r="A13" s="4" t="s">
        <v>77</v>
      </c>
      <c r="B13" s="5" t="s">
        <v>13</v>
      </c>
      <c r="C13" s="5" t="s">
        <v>78</v>
      </c>
      <c r="D13" s="5" t="s">
        <v>24</v>
      </c>
      <c r="E13" s="5" t="s">
        <v>79</v>
      </c>
      <c r="F13" s="5" t="s">
        <v>80</v>
      </c>
      <c r="G13" s="5" t="s">
        <v>81</v>
      </c>
      <c r="H13" s="5" t="s">
        <v>82</v>
      </c>
      <c r="I13" s="5" t="s">
        <v>53</v>
      </c>
      <c r="J13" s="8" t="s">
        <v>54</v>
      </c>
    </row>
    <row r="14" customFormat="false" ht="22.35" hidden="false" customHeight="false" outlineLevel="0" collapsed="false">
      <c r="A14" s="4" t="s">
        <v>83</v>
      </c>
      <c r="B14" s="5" t="s">
        <v>13</v>
      </c>
      <c r="C14" s="5" t="s">
        <v>84</v>
      </c>
      <c r="D14" s="5" t="s">
        <v>24</v>
      </c>
      <c r="E14" s="5" t="s">
        <v>85</v>
      </c>
      <c r="F14" s="5" t="s">
        <v>86</v>
      </c>
      <c r="G14" s="5" t="s">
        <v>87</v>
      </c>
      <c r="H14" s="5" t="s">
        <v>82</v>
      </c>
      <c r="I14" s="5" t="s">
        <v>53</v>
      </c>
      <c r="J14" s="8" t="s">
        <v>54</v>
      </c>
    </row>
    <row r="15" customFormat="false" ht="22.35" hidden="false" customHeight="false" outlineLevel="0" collapsed="false">
      <c r="A15" s="4" t="s">
        <v>88</v>
      </c>
      <c r="B15" s="5" t="s">
        <v>13</v>
      </c>
      <c r="C15" s="5" t="s">
        <v>89</v>
      </c>
      <c r="D15" s="5" t="s">
        <v>64</v>
      </c>
      <c r="E15" s="5" t="s">
        <v>90</v>
      </c>
      <c r="F15" s="5" t="s">
        <v>91</v>
      </c>
      <c r="G15" s="5" t="s">
        <v>92</v>
      </c>
      <c r="H15" s="5" t="s">
        <v>93</v>
      </c>
      <c r="I15" s="5" t="s">
        <v>94</v>
      </c>
      <c r="J15" s="6" t="s">
        <v>21</v>
      </c>
    </row>
    <row r="16" customFormat="false" ht="22.35" hidden="false" customHeight="false" outlineLevel="0" collapsed="false">
      <c r="A16" s="4" t="s">
        <v>95</v>
      </c>
      <c r="B16" s="5" t="s">
        <v>13</v>
      </c>
      <c r="C16" s="5" t="s">
        <v>96</v>
      </c>
      <c r="D16" s="5" t="s">
        <v>24</v>
      </c>
      <c r="E16" s="5" t="s">
        <v>97</v>
      </c>
      <c r="F16" s="5" t="s">
        <v>98</v>
      </c>
      <c r="G16" s="5" t="s">
        <v>99</v>
      </c>
      <c r="H16" s="5" t="s">
        <v>100</v>
      </c>
      <c r="I16" s="5" t="s">
        <v>53</v>
      </c>
      <c r="J16" s="9" t="s">
        <v>101</v>
      </c>
    </row>
    <row r="17" customFormat="false" ht="43.25" hidden="false" customHeight="false" outlineLevel="0" collapsed="false">
      <c r="A17" s="4" t="s">
        <v>102</v>
      </c>
      <c r="B17" s="5" t="s">
        <v>13</v>
      </c>
      <c r="C17" s="5" t="s">
        <v>103</v>
      </c>
      <c r="D17" s="5" t="s">
        <v>64</v>
      </c>
      <c r="E17" s="5" t="s">
        <v>104</v>
      </c>
      <c r="F17" s="5" t="s">
        <v>105</v>
      </c>
      <c r="G17" s="5" t="s">
        <v>106</v>
      </c>
      <c r="H17" s="5" t="s">
        <v>107</v>
      </c>
      <c r="I17" s="5" t="s">
        <v>108</v>
      </c>
      <c r="J17" s="6" t="s">
        <v>21</v>
      </c>
    </row>
    <row r="18" customFormat="false" ht="22.35" hidden="false" customHeight="false" outlineLevel="0" collapsed="false">
      <c r="A18" s="4" t="s">
        <v>109</v>
      </c>
      <c r="B18" s="5" t="s">
        <v>13</v>
      </c>
      <c r="C18" s="5" t="s">
        <v>110</v>
      </c>
      <c r="D18" s="5" t="s">
        <v>41</v>
      </c>
      <c r="E18" s="5" t="s">
        <v>111</v>
      </c>
      <c r="F18" s="5" t="s">
        <v>112</v>
      </c>
      <c r="G18" s="5" t="s">
        <v>113</v>
      </c>
      <c r="H18" s="5" t="s">
        <v>114</v>
      </c>
      <c r="I18" s="5" t="s">
        <v>115</v>
      </c>
      <c r="J18" s="6" t="s">
        <v>21</v>
      </c>
    </row>
    <row r="19" customFormat="false" ht="22.35" hidden="false" customHeight="false" outlineLevel="0" collapsed="false">
      <c r="A19" s="4" t="s">
        <v>116</v>
      </c>
      <c r="B19" s="5" t="s">
        <v>117</v>
      </c>
      <c r="C19" s="5" t="s">
        <v>118</v>
      </c>
      <c r="D19" s="5" t="s">
        <v>24</v>
      </c>
      <c r="E19" s="5" t="s">
        <v>16</v>
      </c>
      <c r="F19" s="5" t="s">
        <v>119</v>
      </c>
      <c r="G19" s="5" t="s">
        <v>120</v>
      </c>
      <c r="H19" s="5" t="s">
        <v>121</v>
      </c>
      <c r="I19" s="5" t="s">
        <v>94</v>
      </c>
      <c r="J19" s="7" t="s">
        <v>38</v>
      </c>
    </row>
    <row r="20" customFormat="false" ht="22.35" hidden="false" customHeight="false" outlineLevel="0" collapsed="false">
      <c r="A20" s="4" t="s">
        <v>122</v>
      </c>
      <c r="B20" s="5" t="s">
        <v>123</v>
      </c>
      <c r="C20" s="5" t="s">
        <v>124</v>
      </c>
      <c r="D20" s="5" t="s">
        <v>24</v>
      </c>
      <c r="E20" s="5" t="s">
        <v>25</v>
      </c>
      <c r="F20" s="5" t="s">
        <v>125</v>
      </c>
      <c r="G20" s="5" t="s">
        <v>27</v>
      </c>
      <c r="H20" s="5" t="s">
        <v>126</v>
      </c>
      <c r="I20" s="5" t="s">
        <v>29</v>
      </c>
      <c r="J20" s="6" t="s">
        <v>21</v>
      </c>
    </row>
    <row r="21" customFormat="false" ht="22.35" hidden="false" customHeight="false" outlineLevel="0" collapsed="false">
      <c r="A21" s="4" t="s">
        <v>127</v>
      </c>
      <c r="B21" s="5" t="s">
        <v>128</v>
      </c>
      <c r="C21" s="5" t="s">
        <v>129</v>
      </c>
      <c r="D21" s="5" t="s">
        <v>64</v>
      </c>
      <c r="E21" s="5" t="s">
        <v>104</v>
      </c>
      <c r="F21" s="5" t="s">
        <v>130</v>
      </c>
      <c r="G21" s="5" t="s">
        <v>131</v>
      </c>
      <c r="H21" s="5" t="s">
        <v>132</v>
      </c>
      <c r="I21" s="5" t="s">
        <v>133</v>
      </c>
      <c r="J21" s="6" t="s">
        <v>21</v>
      </c>
    </row>
    <row r="22" customFormat="false" ht="22.35" hidden="false" customHeight="false" outlineLevel="0" collapsed="false">
      <c r="A22" s="4" t="s">
        <v>134</v>
      </c>
      <c r="B22" s="5" t="s">
        <v>128</v>
      </c>
      <c r="C22" s="5" t="s">
        <v>135</v>
      </c>
      <c r="D22" s="5" t="s">
        <v>24</v>
      </c>
      <c r="E22" s="5" t="s">
        <v>57</v>
      </c>
      <c r="F22" s="5" t="s">
        <v>136</v>
      </c>
      <c r="G22" s="5" t="s">
        <v>59</v>
      </c>
      <c r="H22" s="5" t="s">
        <v>137</v>
      </c>
      <c r="I22" s="5" t="s">
        <v>61</v>
      </c>
      <c r="J22" s="6" t="s">
        <v>21</v>
      </c>
    </row>
    <row r="23" customFormat="false" ht="22.35" hidden="false" customHeight="false" outlineLevel="0" collapsed="false">
      <c r="A23" s="4" t="s">
        <v>138</v>
      </c>
      <c r="B23" s="5" t="s">
        <v>139</v>
      </c>
      <c r="C23" s="5" t="s">
        <v>140</v>
      </c>
      <c r="D23" s="5" t="s">
        <v>64</v>
      </c>
      <c r="E23" s="5" t="s">
        <v>141</v>
      </c>
      <c r="F23" s="5" t="s">
        <v>142</v>
      </c>
      <c r="G23" s="5" t="s">
        <v>143</v>
      </c>
      <c r="H23" s="5" t="s">
        <v>144</v>
      </c>
      <c r="I23" s="5" t="s">
        <v>145</v>
      </c>
      <c r="J23" s="6" t="s">
        <v>21</v>
      </c>
    </row>
    <row r="24" customFormat="false" ht="22.35" hidden="false" customHeight="false" outlineLevel="0" collapsed="false">
      <c r="A24" s="4" t="s">
        <v>146</v>
      </c>
      <c r="B24" s="5" t="s">
        <v>147</v>
      </c>
      <c r="C24" s="5" t="s">
        <v>148</v>
      </c>
      <c r="D24" s="5" t="s">
        <v>41</v>
      </c>
      <c r="E24" s="5" t="s">
        <v>33</v>
      </c>
      <c r="F24" s="5" t="s">
        <v>149</v>
      </c>
      <c r="G24" s="5" t="s">
        <v>35</v>
      </c>
      <c r="H24" s="5" t="s">
        <v>150</v>
      </c>
      <c r="I24" s="5" t="s">
        <v>151</v>
      </c>
      <c r="J24" s="7" t="s">
        <v>38</v>
      </c>
    </row>
    <row r="25" customFormat="false" ht="22.35" hidden="false" customHeight="false" outlineLevel="0" collapsed="false">
      <c r="A25" s="4" t="s">
        <v>152</v>
      </c>
      <c r="B25" s="5" t="s">
        <v>153</v>
      </c>
      <c r="C25" s="5" t="s">
        <v>154</v>
      </c>
      <c r="D25" s="5" t="s">
        <v>64</v>
      </c>
      <c r="E25" s="5" t="s">
        <v>90</v>
      </c>
      <c r="F25" s="5" t="s">
        <v>155</v>
      </c>
      <c r="G25" s="5" t="s">
        <v>92</v>
      </c>
      <c r="H25" s="5" t="s">
        <v>156</v>
      </c>
      <c r="I25" s="5" t="s">
        <v>94</v>
      </c>
      <c r="J25" s="6" t="s">
        <v>21</v>
      </c>
    </row>
    <row r="26" customFormat="false" ht="22.35" hidden="false" customHeight="false" outlineLevel="0" collapsed="false">
      <c r="A26" s="4" t="s">
        <v>157</v>
      </c>
      <c r="B26" s="5" t="s">
        <v>117</v>
      </c>
      <c r="C26" s="5" t="s">
        <v>158</v>
      </c>
      <c r="D26" s="5" t="s">
        <v>64</v>
      </c>
      <c r="E26" s="5" t="s">
        <v>90</v>
      </c>
      <c r="F26" s="5" t="s">
        <v>159</v>
      </c>
      <c r="G26" s="5" t="s">
        <v>160</v>
      </c>
      <c r="H26" s="5" t="s">
        <v>161</v>
      </c>
      <c r="I26" s="5" t="s">
        <v>53</v>
      </c>
      <c r="J26" s="9" t="s">
        <v>101</v>
      </c>
    </row>
    <row r="28" customFormat="false" ht="15" hidden="false" customHeight="false" outlineLevel="0" collapsed="false">
      <c r="A28" s="10" t="s">
        <v>162</v>
      </c>
      <c r="B28" s="10"/>
      <c r="C28" s="10"/>
      <c r="D28" s="10"/>
      <c r="E28" s="10"/>
      <c r="F28" s="10"/>
      <c r="G28" s="10"/>
      <c r="H28" s="10"/>
      <c r="I28" s="10"/>
      <c r="J28" s="10"/>
    </row>
  </sheetData>
  <autoFilter ref="A4:J26"/>
  <mergeCells count="2">
    <mergeCell ref="A2:J2"/>
    <mergeCell ref="A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2"/>
  </cols>
  <sheetData>
    <row r="1" customFormat="false" ht="15" hidden="false" customHeight="false" outlineLevel="0" collapsed="false">
      <c r="A1" s="11" t="s">
        <v>163</v>
      </c>
    </row>
    <row r="3" customFormat="false" ht="15" hidden="false" customHeight="false" outlineLevel="0" collapsed="false">
      <c r="A3" s="12" t="s">
        <v>11</v>
      </c>
      <c r="B3" s="12" t="s">
        <v>164</v>
      </c>
      <c r="C3" s="12" t="s">
        <v>165</v>
      </c>
    </row>
    <row r="4" customFormat="false" ht="15" hidden="false" customHeight="false" outlineLevel="0" collapsed="false">
      <c r="A4" s="13" t="s">
        <v>21</v>
      </c>
      <c r="B4" s="13" t="n">
        <f aca="false">COUNTIF(Matriz!$J$5:$J$26,A4)</f>
        <v>14</v>
      </c>
      <c r="C4" s="14" t="n">
        <f aca="false">IF($B$8=0,0,B4/$B$8)</f>
        <v>0.636363636363636</v>
      </c>
    </row>
    <row r="5" customFormat="false" ht="15" hidden="false" customHeight="false" outlineLevel="0" collapsed="false">
      <c r="A5" s="13" t="s">
        <v>38</v>
      </c>
      <c r="B5" s="13" t="n">
        <f aca="false">COUNTIF(Matriz!$J$5:$J$26,A5)</f>
        <v>3</v>
      </c>
      <c r="C5" s="14" t="n">
        <f aca="false">IF($B$8=0,0,B5/$B$8)</f>
        <v>0.136363636363636</v>
      </c>
    </row>
    <row r="6" customFormat="false" ht="15" hidden="false" customHeight="false" outlineLevel="0" collapsed="false">
      <c r="A6" s="13" t="s">
        <v>54</v>
      </c>
      <c r="B6" s="13" t="n">
        <f aca="false">COUNTIF(Matriz!$J$5:$J$26,A6)</f>
        <v>3</v>
      </c>
      <c r="C6" s="14" t="n">
        <f aca="false">IF($B$8=0,0,B6/$B$8)</f>
        <v>0.136363636363636</v>
      </c>
    </row>
    <row r="7" customFormat="false" ht="15" hidden="false" customHeight="false" outlineLevel="0" collapsed="false">
      <c r="A7" s="13" t="s">
        <v>101</v>
      </c>
      <c r="B7" s="13" t="n">
        <f aca="false">COUNTIF(Matriz!$J$5:$J$26,A7)</f>
        <v>2</v>
      </c>
      <c r="C7" s="14" t="n">
        <f aca="false">IF($B$8=0,0,B7/$B$8)</f>
        <v>0.0909090909090909</v>
      </c>
    </row>
    <row r="8" customFormat="false" ht="15" hidden="false" customHeight="false" outlineLevel="0" collapsed="false">
      <c r="A8" s="15" t="s">
        <v>166</v>
      </c>
      <c r="B8" s="15" t="n">
        <f aca="false">SUM(B4:B7)</f>
        <v>22</v>
      </c>
      <c r="C8" s="16" t="n">
        <f aca="false">SUM(C4:C7)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2026-10-06T14:12:30Z</dcterms:created>
  <dc:creator>openpyxl</dc:creator>
  <dc:description/>
  <dc:language>en-US</dc:language>
  <cp:lastModifiedBy/>
  <dcterms:modified xsi:type="dcterms:W3CDTF">2026-10-06T14:12:30Z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