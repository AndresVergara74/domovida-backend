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" sheetId="1" state="visible" r:id="rId1"/>
    <sheet xmlns:r="http://schemas.openxmlformats.org/officeDocument/2006/relationships" name="Tar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DomoVida · Resultados de la Escala SUS (HU-12)</t>
        </is>
      </c>
    </row>
    <row r="2">
      <c r="A2" t="inlineStr">
        <is>
          <t>Ingrese las respuestas (1 a 5) en las celdas amarillas. El puntaje se calcula solo. Meta (Guía 1.5): promedio &gt; 70.</t>
        </is>
      </c>
    </row>
    <row r="4">
      <c r="A4" s="2" t="inlineStr">
        <is>
          <t>Código</t>
        </is>
      </c>
      <c r="B4" s="2" t="inlineStr">
        <is>
          <t>Rango de edad</t>
        </is>
      </c>
      <c r="C4" s="2" t="inlineStr">
        <is>
          <t>Tipo de cuidador</t>
        </is>
      </c>
      <c r="D4" s="2" t="inlineStr">
        <is>
          <t>P1</t>
        </is>
      </c>
      <c r="E4" s="2" t="inlineStr">
        <is>
          <t>P2</t>
        </is>
      </c>
      <c r="F4" s="2" t="inlineStr">
        <is>
          <t>P3</t>
        </is>
      </c>
      <c r="G4" s="2" t="inlineStr">
        <is>
          <t>P4</t>
        </is>
      </c>
      <c r="H4" s="2" t="inlineStr">
        <is>
          <t>P5</t>
        </is>
      </c>
      <c r="I4" s="2" t="inlineStr">
        <is>
          <t>P6</t>
        </is>
      </c>
      <c r="J4" s="2" t="inlineStr">
        <is>
          <t>P7</t>
        </is>
      </c>
      <c r="K4" s="2" t="inlineStr">
        <is>
          <t>P8</t>
        </is>
      </c>
      <c r="L4" s="2" t="inlineStr">
        <is>
          <t>P9</t>
        </is>
      </c>
      <c r="M4" s="2" t="inlineStr">
        <is>
          <t>P10</t>
        </is>
      </c>
      <c r="N4" s="2" t="inlineStr">
        <is>
          <t>Puntaje SUS</t>
        </is>
      </c>
    </row>
    <row r="5">
      <c r="A5" s="3" t="inlineStr">
        <is>
          <t>P01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3">
        <f>IF(COUNT(D5:M5)=10,((D5-1)+(F5-1)+(H5-1)+(J5-1)+(L5-1)+(5-E5)+(5-G5)+(5-I5)+(5-K5)+(5-M5))*2.5,"")</f>
        <v/>
      </c>
    </row>
    <row r="6">
      <c r="A6" s="3" t="inlineStr">
        <is>
          <t>P02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3">
        <f>IF(COUNT(D6:M6)=10,((D6-1)+(F6-1)+(H6-1)+(J6-1)+(L6-1)+(5-E6)+(5-G6)+(5-I6)+(5-K6)+(5-M6))*2.5,"")</f>
        <v/>
      </c>
    </row>
    <row r="7">
      <c r="A7" s="3" t="inlineStr">
        <is>
          <t>P03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3">
        <f>IF(COUNT(D7:M7)=10,((D7-1)+(F7-1)+(H7-1)+(J7-1)+(L7-1)+(5-E7)+(5-G7)+(5-I7)+(5-K7)+(5-M7))*2.5,"")</f>
        <v/>
      </c>
    </row>
    <row r="8">
      <c r="A8" s="3" t="inlineStr">
        <is>
          <t>P04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3">
        <f>IF(COUNT(D8:M8)=10,((D8-1)+(F8-1)+(H8-1)+(J8-1)+(L8-1)+(5-E8)+(5-G8)+(5-I8)+(5-K8)+(5-M8))*2.5,"")</f>
        <v/>
      </c>
    </row>
    <row r="9">
      <c r="A9" s="3" t="inlineStr">
        <is>
          <t>P05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3">
        <f>IF(COUNT(D9:M9)=10,((D9-1)+(F9-1)+(H9-1)+(J9-1)+(L9-1)+(5-E9)+(5-G9)+(5-I9)+(5-K9)+(5-M9))*2.5,"")</f>
        <v/>
      </c>
    </row>
    <row r="10">
      <c r="A10" s="3" t="inlineStr">
        <is>
          <t>P06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3">
        <f>IF(COUNT(D10:M10)=10,((D10-1)+(F10-1)+(H10-1)+(J10-1)+(L10-1)+(5-E10)+(5-G10)+(5-I10)+(5-K10)+(5-M10))*2.5,"")</f>
        <v/>
      </c>
    </row>
    <row r="11">
      <c r="A11" s="3" t="inlineStr">
        <is>
          <t>P07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3">
        <f>IF(COUNT(D11:M11)=10,((D11-1)+(F11-1)+(H11-1)+(J11-1)+(L11-1)+(5-E11)+(5-G11)+(5-I11)+(5-K11)+(5-M11))*2.5,"")</f>
        <v/>
      </c>
    </row>
    <row r="12">
      <c r="A12" s="3" t="inlineStr">
        <is>
          <t>P08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3">
        <f>IF(COUNT(D12:M12)=10,((D12-1)+(F12-1)+(H12-1)+(J12-1)+(L12-1)+(5-E12)+(5-G12)+(5-I12)+(5-K12)+(5-M12))*2.5,"")</f>
        <v/>
      </c>
    </row>
    <row r="13">
      <c r="A13" s="3" t="inlineStr">
        <is>
          <t>P09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3">
        <f>IF(COUNT(D13:M13)=10,((D13-1)+(F13-1)+(H13-1)+(J13-1)+(L13-1)+(5-E13)+(5-G13)+(5-I13)+(5-K13)+(5-M13))*2.5,"")</f>
        <v/>
      </c>
    </row>
    <row r="14">
      <c r="A14" s="3" t="inlineStr">
        <is>
          <t>P10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3">
        <f>IF(COUNT(D14:M14)=10,((D14-1)+(F14-1)+(H14-1)+(J14-1)+(L14-1)+(5-E14)+(5-G14)+(5-I14)+(5-K14)+(5-M14))*2.5,"")</f>
        <v/>
      </c>
    </row>
    <row r="16">
      <c r="A16" s="5" t="inlineStr">
        <is>
          <t>Participantes con encuesta completa</t>
        </is>
      </c>
      <c r="N16" s="6">
        <f>COUNT(N5:N14)</f>
        <v/>
      </c>
    </row>
    <row r="17">
      <c r="A17" s="5" t="inlineStr">
        <is>
          <t>Puntaje SUS promedio</t>
        </is>
      </c>
      <c r="N17" s="6">
        <f>IF(N16=0,"",AVERAGE(N5:N14))</f>
        <v/>
      </c>
    </row>
    <row r="18">
      <c r="A18" s="5" t="inlineStr">
        <is>
          <t>Desviación estándar</t>
        </is>
      </c>
      <c r="N18" s="6">
        <f>IF(N16&lt;2,"",STDEV(N5:N14))</f>
        <v/>
      </c>
    </row>
    <row r="19">
      <c r="A19" s="5" t="inlineStr">
        <is>
          <t>¿Cumple la meta (&gt; 70)?</t>
        </is>
      </c>
      <c r="N19" s="6">
        <f>IF(N16=0,"",IF(N17&gt;70,"Sí","No"))</f>
        <v/>
      </c>
    </row>
    <row r="20">
      <c r="A20" s="5" t="inlineStr">
        <is>
          <t>Interpretación (Bangor et al., 2009)</t>
        </is>
      </c>
      <c r="N20" s="6">
        <f>IF(N16=0,"",IF(N17&gt;=85,"Excelente",IF(N17&gt;=71,"Bueno",IF(N17&gt;=50,"Aceptable marginal","No aceptable"))))</f>
        <v/>
      </c>
    </row>
  </sheetData>
  <dataValidations count="1">
    <dataValidation sqref="D5:M5 D6:M6 D7:M7 D8:M8 D9:M9 D10:M10 D11:M11 D12:M12 D13:M13 D14:M14" showDropDown="0" showInputMessage="0" showErrorMessage="1" allowBlank="0" error="Ingrese un número de 1 a 5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12" max="12"/>
    <col width="40" customWidth="1" min="13" max="13"/>
  </cols>
  <sheetData>
    <row r="1" ht="45" customHeight="1">
      <c r="A1" s="2" t="inlineStr">
        <is>
          <t>Código</t>
        </is>
      </c>
      <c r="B1" s="2" t="inlineStr">
        <is>
          <t>T1 ¿completó? (1/0)</t>
        </is>
      </c>
      <c r="C1" s="2" t="inlineStr">
        <is>
          <t>T1 segundos</t>
        </is>
      </c>
      <c r="D1" s="2" t="inlineStr">
        <is>
          <t>T2 ¿completó? (1/0)</t>
        </is>
      </c>
      <c r="E1" s="2" t="inlineStr">
        <is>
          <t>T2 segundos</t>
        </is>
      </c>
      <c r="F1" s="2" t="inlineStr">
        <is>
          <t>T3 ¿completó? (1/0)</t>
        </is>
      </c>
      <c r="G1" s="2" t="inlineStr">
        <is>
          <t>T3 segundos</t>
        </is>
      </c>
      <c r="H1" s="2" t="inlineStr">
        <is>
          <t>T4 ¿completó? (1/0)</t>
        </is>
      </c>
      <c r="I1" s="2" t="inlineStr">
        <is>
          <t>T4 segundos</t>
        </is>
      </c>
      <c r="J1" s="2" t="inlineStr">
        <is>
          <t>T5 ¿completó? (1/0)</t>
        </is>
      </c>
      <c r="K1" s="2" t="inlineStr">
        <is>
          <t>T5 segundos</t>
        </is>
      </c>
      <c r="L1" s="2" t="inlineStr">
        <is>
          <t>Dificultades observadas</t>
        </is>
      </c>
      <c r="M1" s="2" t="inlineStr">
        <is>
          <t>Comentarios</t>
        </is>
      </c>
    </row>
    <row r="2">
      <c r="A2" t="inlineStr">
        <is>
          <t>P01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</row>
    <row r="3">
      <c r="A3" t="inlineStr">
        <is>
          <t>P02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>
      <c r="A4" t="inlineStr">
        <is>
          <t>P03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t="inlineStr">
        <is>
          <t>P04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t="inlineStr">
        <is>
          <t>P05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t="inlineStr">
        <is>
          <t>P06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>
      <c r="A8" t="inlineStr">
        <is>
          <t>P07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t="inlineStr">
        <is>
          <t>P08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A10" t="inlineStr">
        <is>
          <t>P09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t="inlineStr">
        <is>
          <t>P10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3">
      <c r="A13" s="5" t="inlineStr">
        <is>
          <t>Tasa de éxito / mediana</t>
        </is>
      </c>
      <c r="B13" s="8">
        <f>IF(COUNT(B2:B11)=0,"",SUM(B2:B11)/COUNT(B2:B11))</f>
        <v/>
      </c>
      <c r="C13">
        <f>IF(COUNT(C2:C11)=0,"",MEDIAN(C2:C11))</f>
        <v/>
      </c>
      <c r="D13" s="8">
        <f>IF(COUNT(D2:D11)=0,"",SUM(D2:D11)/COUNT(D2:D11))</f>
        <v/>
      </c>
      <c r="E13">
        <f>IF(COUNT(E2:E11)=0,"",MEDIAN(E2:E11))</f>
        <v/>
      </c>
      <c r="F13" s="8">
        <f>IF(COUNT(F2:F11)=0,"",SUM(F2:F11)/COUNT(F2:F11))</f>
        <v/>
      </c>
      <c r="G13">
        <f>IF(COUNT(G2:G11)=0,"",MEDIAN(G2:G11))</f>
        <v/>
      </c>
      <c r="H13" s="8">
        <f>IF(COUNT(H2:H11)=0,"",SUM(H2:H11)/COUNT(H2:H11))</f>
        <v/>
      </c>
      <c r="I13">
        <f>IF(COUNT(I2:I11)=0,"",MEDIAN(I2:I11))</f>
        <v/>
      </c>
      <c r="J13" s="8">
        <f>IF(COUNT(J2:J11)=0,"",SUM(J2:J11)/COUNT(J2:J11))</f>
        <v/>
      </c>
      <c r="K13">
        <f>IF(COUNT(K2:K11)=0,"",MEDIAN(K2:K11))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2026-10-08T14:25:15Z</dcterms:created>
  <dcterms:modified xmlns:dcterms="http://purl.org/dc/terms/" xmlns:xsi="http://www.w3.org/2001/XMLSchema-instance" xsi:type="dcterms:W3CDTF">2026-10-08T14:25:29Z</dcterms:modified>
</cp:coreProperties>
</file>